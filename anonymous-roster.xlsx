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1ee755dea54c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週班表" sheetId="1" r:id="R6705791e56ae4aed"/>
    <x:sheet xmlns:r="http://schemas.openxmlformats.org/officeDocument/2006/relationships" name="班次明細" sheetId="2" r:id="R43eb8965280d42d0"/>
    <x:sheet xmlns:r="http://schemas.openxmlformats.org/officeDocument/2006/relationships" name="人力缺口" sheetId="3" r:id="R81c60bf187a343d9"/>
    <x:sheet xmlns:r="http://schemas.openxmlformats.org/officeDocument/2006/relationships" name="工時與休假" sheetId="4" r:id="R5317c339502649af"/>
    <x:sheet xmlns:r="http://schemas.openxmlformats.org/officeDocument/2006/relationships" name="閱讀與待確認" sheetId="5" r:id="R1045dd48f5504eee"/>
    <x:sheet xmlns:r="http://schemas.openxmlformats.org/officeDocument/2006/relationships" name="規則與技能" sheetId="6" r:id="Rc2a390f783ed4b46"/>
    <x:sheet xmlns:r="http://schemas.openxmlformats.org/officeDocument/2006/relationships" name="整月工時表" sheetId="7" r:id="R391897bc39d448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m/d"/>
    <x:numFmt numFmtId="201" formatCode="hh:mm"/>
    <x:numFmt numFmtId="202" formatCode="0.0"/>
    <x:numFmt numFmtId="203" formatCode="0"/>
    <x:numFmt numFmtId="204" formatCode="d"/>
    <x:numFmt numFmtId="205" formatCode="m/d&quot; 光復節&quot;"/>
  </x:numFmts>
  <x:fonts count="17">
    <x:font>
      <x:sz val="11"/>
      <x:name val="Carlito"/>
    </x:font>
    <x:font>
      <x:sz val="11"/>
      <x:color rgb="FF243746"/>
      <x:name val="Microsoft JhengHei"/>
    </x:font>
    <x:font>
      <x:b/>
      <x:sz val="18"/>
      <x:color rgb="FFFFFFFF"/>
      <x:name val="Microsoft JhengHei"/>
    </x:font>
    <x:font>
      <x:sz val="10"/>
      <x:color rgb="FF243746"/>
      <x:name val="Microsoft JhengHei"/>
    </x:font>
    <x:font>
      <x:b/>
      <x:sz val="11"/>
      <x:color rgb="FFFFFFFF"/>
      <x:name val="Microsoft JhengHei"/>
    </x:font>
    <x:font>
      <x:sz val="11"/>
      <x:color rgb="FF1D4ED8"/>
      <x:name val="Microsoft JhengHei"/>
    </x:font>
    <x:font>
      <x:b/>
      <x:sz val="11"/>
      <x:color rgb="FF243746"/>
      <x:name val="Microsoft JhengHei"/>
    </x:font>
    <x:font>
      <x:sz val="10"/>
      <x:color rgb="FF52636E"/>
      <x:name val="Microsoft JhengHei"/>
    </x:font>
    <x:font>
      <x:b/>
      <x:sz val="16"/>
      <x:color rgb="FFFFFFFF"/>
      <x:name val="Microsoft JhengHei"/>
    </x:font>
    <x:font>
      <x:b/>
      <x:sz val="10"/>
      <x:color rgb="FF243746"/>
      <x:name val="Microsoft JhengHei"/>
    </x:font>
    <x:font>
      <x:b/>
      <x:sz val="9"/>
      <x:color rgb="FFFFFFFF"/>
      <x:name val="Microsoft JhengHei"/>
    </x:font>
    <x:font>
      <x:sz val="8"/>
      <x:color rgb="FF243746"/>
      <x:name val="Microsoft JhengHei"/>
    </x:font>
    <x:font>
      <x:sz val="9"/>
      <x:color rgb="FF1D4ED8"/>
      <x:name val="Microsoft JhengHei"/>
    </x:font>
    <x:font>
      <x:b/>
      <x:sz val="9"/>
      <x:color rgb="FF243746"/>
      <x:name val="Microsoft JhengHei"/>
    </x:font>
    <x:font>
      <x:sz val="8"/>
      <x:color rgb="FF1D4ED8"/>
      <x:name val="Microsoft JhengHei"/>
    </x:font>
    <x:font>
      <x:sz val="8"/>
      <x:color rgb="FFAEB8BD"/>
      <x:name val="Microsoft JhengHei"/>
    </x:font>
    <x:font>
      <x:b/>
      <x:sz val="9"/>
      <x:color rgb="FF334155"/>
      <x:name val="Microsoft JhengHei"/>
    </x:font>
  </x:fonts>
  <x:fills count="23">
    <x:fill>
      <x:patternFill patternType="none"/>
    </x:fill>
    <x:fill>
      <x:patternFill patternType="gray125"/>
    </x:fill>
    <x:fill>
      <x:patternFill patternType="solid">
        <x:fgColor rgb="FF245C58"/>
      </x:patternFill>
    </x:fill>
    <x:fill>
      <x:patternFill patternType="solid">
        <x:fgColor rgb="FFEAF3F0"/>
      </x:patternFill>
    </x:fill>
    <x:fill>
      <x:patternFill patternType="solid">
        <x:fgColor rgb="FF243746"/>
      </x:patternFill>
    </x:fill>
    <x:fill>
      <x:patternFill patternType="solid">
        <x:fgColor rgb="FFFCE4D1"/>
      </x:patternFill>
    </x:fill>
    <x:fill>
      <x:patternFill patternType="solid">
        <x:fgColor rgb="FFECEFF1"/>
      </x:patternFill>
    </x:fill>
    <x:fill>
      <x:patternFill patternType="solid">
        <x:fgColor rgb="FFFFF2CC"/>
      </x:patternFill>
    </x:fill>
    <x:fill>
      <x:patternFill patternType="solid">
        <x:fgColor rgb="FF245C58"/>
      </x:patternFill>
    </x:fill>
    <x:fill>
      <x:patternFill patternType="solid">
        <x:fgColor rgb="FFEAF3F0"/>
      </x:patternFill>
    </x:fill>
    <x:fill>
      <x:patternFill patternType="solid">
        <x:fgColor rgb="FF23394A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CE4D1"/>
      </x:patternFill>
    </x:fill>
    <x:fill>
      <x:patternFill patternType="solid">
        <x:fgColor rgb="FFECEFF1"/>
      </x:patternFill>
    </x:fill>
    <x:fill>
      <x:patternFill patternType="solid">
        <x:fgColor rgb="FFFCE4D6"/>
      </x:patternFill>
    </x:fill>
    <x:fill>
      <x:patternFill patternType="solid">
        <x:fgColor rgb="FF233746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9">
    <x:border/>
    <x:border>
      <x:left style="thin">
        <x:color rgb="FFC9D3D8"/>
      </x:left>
      <x:top style="thin">
        <x:color rgb="FFC9D3D8"/>
      </x:top>
    </x:border>
    <x:border>
      <x:top style="thin">
        <x:color rgb="FFC9D3D8"/>
      </x:top>
    </x:border>
    <x:border>
      <x:right style="thin">
        <x:color rgb="FFC9D3D8"/>
      </x:right>
      <x:top style="thin">
        <x:color rgb="FFC9D3D8"/>
      </x:top>
    </x:border>
    <x:border>
      <x:left style="thin">
        <x:color rgb="FFC9D3D8"/>
      </x:left>
      <x:bottom style="thin">
        <x:color rgb="FFC9D3D8"/>
      </x:bottom>
    </x:border>
    <x:border>
      <x:bottom style="thin">
        <x:color rgb="FFC9D3D8"/>
      </x:bottom>
    </x:border>
    <x:border>
      <x:right style="thin">
        <x:color rgb="FFC9D3D8"/>
      </x:right>
      <x:bottom style="thin">
        <x:color rgb="FFC9D3D8"/>
      </x:bottom>
    </x:border>
    <x:border>
      <x:left style="thin">
        <x:color rgb="FFC9D3D8"/>
      </x:left>
      <x:right style="thin">
        <x:color rgb="FFC9D3D8"/>
      </x:right>
      <x:top style="thin">
        <x:color rgb="FFC9D3D8"/>
      </x:top>
      <x:bottom style="thin">
        <x:color rgb="FFC9D3D8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 wrapText="1"/>
    </x:xf>
    <x:xf numFmtId="200" fontId="4" fillId="4" borderId="0" xfId="0" applyNumberFormat="1" applyFont="1" applyFill="1" applyBorder="1" applyAlignment="1">
      <x:alignment vertical="center" wrapText="1"/>
    </x:xf>
    <x:xf numFmtId="200" fontId="4" fillId="4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200" fontId="4" fillId="5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horizontal="center" vertical="center"/>
    </x:xf>
    <x:xf numFmtId="200" fontId="6" fillId="5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horizontal="center" vertical="center"/>
    </x:xf>
    <x:xf numFmtId="0" fontId="1" fillId="0" borderId="3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horizontal="center" vertical="center"/>
    </x:xf>
    <x:xf numFmtId="0" fontId="1" fillId="0" borderId="6" xfId="0" applyNumberFormat="1" applyFont="1" applyFill="1" applyBorder="1" applyAlignment="1">
      <x:alignment horizontal="center" vertical="center"/>
    </x:xf>
    <x:xf numFmtId="0" fontId="7" fillId="0" borderId="5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1" fillId="6" borderId="2" xfId="0" applyNumberFormat="1" applyFont="1" applyFill="1" applyBorder="1" applyAlignment="1">
      <x:alignment horizontal="center" vertical="center"/>
    </x:xf>
    <x:xf numFmtId="0" fontId="1" fillId="6" borderId="5" xfId="0" applyNumberFormat="1" applyFont="1" applyFill="1" applyBorder="1" applyAlignment="1">
      <x:alignment horizontal="center" vertical="center"/>
    </x:xf>
    <x:xf numFmtId="0" fontId="7" fillId="6" borderId="5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 applyAlignment="1">
      <x:alignment horizontal="center" vertical="center"/>
    </x:xf>
    <x:xf numFmtId="0" fontId="1" fillId="7" borderId="2" xfId="0" applyNumberFormat="1" applyFont="1" applyFill="1" applyBorder="1" applyAlignment="1">
      <x:alignment horizontal="center" vertical="center"/>
    </x:xf>
    <x:xf numFmtId="0" fontId="1" fillId="7" borderId="5" xfId="0" applyNumberFormat="1" applyFont="1" applyFill="1" applyBorder="1" applyAlignment="1">
      <x:alignment horizontal="center" vertical="center"/>
    </x:xf>
    <x:xf numFmtId="0" fontId="7" fillId="7" borderId="5" xfId="0" applyNumberFormat="1" applyFont="1" applyFill="1" applyBorder="1" applyAlignment="1">
      <x:alignment horizontal="center" vertical="center"/>
    </x:xf>
    <x:xf numFmtId="202" fontId="1" fillId="0" borderId="2" xfId="0" applyNumberFormat="1" applyFont="1" applyFill="1" applyBorder="1" applyAlignment="1">
      <x:alignment horizontal="center" vertical="center"/>
    </x:xf>
    <x:xf numFmtId="202" fontId="1" fillId="0" borderId="5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8" borderId="0" xfId="0" applyNumberFormat="1" applyFont="1" applyFill="1" applyBorder="1" applyAlignment="1">
      <x:alignment vertical="center"/>
    </x:xf>
    <x:xf numFmtId="0" fontId="8" fillId="8" borderId="0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horizontal="center" vertical="center"/>
    </x:xf>
    <x:xf numFmtId="0" fontId="3" fillId="9" borderId="7" xfId="0" applyNumberFormat="1" applyFont="1" applyFill="1" applyBorder="1" applyAlignment="1">
      <x:alignment horizontal="center" vertical="center"/>
    </x:xf>
    <x:xf numFmtId="0" fontId="9" fillId="9" borderId="7" xfId="0" applyNumberFormat="1" applyFont="1" applyFill="1" applyBorder="1" applyAlignment="1">
      <x:alignment horizontal="center" vertical="center"/>
    </x:xf>
    <x:xf numFmtId="0" fontId="3" fillId="9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8" xfId="0" applyNumberFormat="1" applyFont="1" applyFill="1" applyBorder="1" applyAlignment="1">
      <x:alignment horizontal="center" vertical="center"/>
    </x:xf>
    <x:xf numFmtId="0" fontId="3" fillId="10" borderId="8" xfId="0" applyNumberFormat="1" applyFont="1" applyFill="1" applyBorder="1" applyAlignment="1">
      <x:alignment horizontal="center" vertical="center"/>
    </x:xf>
    <x:xf numFmtId="0" fontId="10" fillId="10" borderId="8" xfId="0" applyNumberFormat="1" applyFont="1" applyFill="1" applyBorder="1" applyAlignment="1">
      <x:alignment horizontal="center" vertical="center"/>
    </x:xf>
    <x:xf numFmtId="0" fontId="11" fillId="10" borderId="8" xfId="0" applyNumberFormat="1" applyFont="1" applyFill="1" applyBorder="1" applyAlignment="1">
      <x:alignment horizontal="center" vertical="center"/>
    </x:xf>
    <x:xf numFmtId="0" fontId="3" fillId="0" borderId="7" xfId="0" applyNumberFormat="1" applyFont="1" applyFill="1" applyBorder="1" applyAlignment="1">
      <x:alignment horizontal="left" vertical="center"/>
    </x:xf>
    <x:xf numFmtId="0" fontId="12" fillId="0" borderId="7" xfId="0" applyNumberFormat="1" applyFont="1" applyFill="1" applyBorder="1" applyAlignment="1">
      <x:alignment horizontal="center" vertical="center"/>
    </x:xf>
    <x:xf numFmtId="202" fontId="3" fillId="0" borderId="7" xfId="0" applyNumberFormat="1" applyFont="1" applyFill="1" applyBorder="1" applyAlignment="1">
      <x:alignment horizontal="center" vertical="center"/>
    </x:xf>
    <x:xf numFmtId="203" fontId="3" fillId="0" borderId="7" xfId="0" applyNumberFormat="1" applyFont="1" applyFill="1" applyBorder="1" applyAlignment="1">
      <x:alignment horizontal="center" vertical="center"/>
    </x:xf>
    <x:xf numFmtId="0" fontId="3" fillId="9" borderId="7" xfId="0" applyNumberFormat="1" applyFont="1" applyFill="1" applyBorder="1" applyAlignment="1">
      <x:alignment vertical="center"/>
    </x:xf>
    <x:xf numFmtId="0" fontId="13" fillId="9" borderId="7" xfId="0" applyNumberFormat="1" applyFont="1" applyFill="1" applyBorder="1" applyAlignment="1">
      <x:alignment vertical="center"/>
    </x:xf>
    <x:xf numFmtId="202" fontId="13" fillId="9" borderId="7" xfId="0" applyNumberFormat="1" applyFont="1" applyFill="1" applyBorder="1" applyAlignment="1">
      <x:alignment vertical="center"/>
    </x:xf>
    <x:xf numFmtId="203" fontId="13" fillId="9" borderId="7" xfId="0" applyNumberFormat="1" applyFont="1" applyFill="1" applyBorder="1" applyAlignment="1">
      <x:alignment vertical="center"/>
    </x:xf>
    <x:xf numFmtId="0" fontId="10" fillId="11" borderId="8" xfId="0" applyNumberFormat="1" applyFont="1" applyFill="1" applyBorder="1" applyAlignment="1">
      <x:alignment horizontal="center" vertical="center"/>
    </x:xf>
    <x:xf numFmtId="0" fontId="11" fillId="11" borderId="8" xfId="0" applyNumberFormat="1" applyFont="1" applyFill="1" applyBorder="1" applyAlignment="1">
      <x:alignment horizontal="center" vertical="center"/>
    </x:xf>
    <x:xf numFmtId="0" fontId="12" fillId="11" borderId="7" xfId="0" applyNumberFormat="1" applyFont="1" applyFill="1" applyBorder="1" applyAlignment="1">
      <x:alignment horizontal="center" vertical="center"/>
    </x:xf>
    <x:xf numFmtId="0" fontId="3" fillId="11" borderId="0" xfId="0" applyNumberFormat="1" applyFont="1" applyFill="1" applyBorder="1" applyAlignment="1">
      <x:alignment vertical="center"/>
    </x:xf>
    <x:xf numFmtId="202" fontId="13" fillId="11" borderId="7" xfId="0" applyNumberFormat="1" applyFont="1" applyFill="1" applyBorder="1" applyAlignment="1">
      <x:alignment vertical="center"/>
    </x:xf>
    <x:xf numFmtId="203" fontId="13" fillId="11" borderId="7" xfId="0" applyNumberFormat="1" applyFont="1" applyFill="1" applyBorder="1" applyAlignment="1">
      <x:alignment vertical="center"/>
    </x:xf>
    <x:xf numFmtId="204" fontId="10" fillId="11" borderId="8" xfId="0" applyNumberFormat="1" applyFont="1" applyFill="1" applyBorder="1" applyAlignment="1">
      <x:alignment horizontal="center" vertical="center"/>
    </x:xf>
    <x:xf numFmtId="204" fontId="10" fillId="10" borderId="8" xfId="0" applyNumberFormat="1" applyFont="1" applyFill="1" applyBorder="1" applyAlignment="1">
      <x:alignment horizontal="center" vertical="center"/>
    </x:xf>
    <x:xf numFmtId="0" fontId="11" fillId="12" borderId="8" xfId="0" applyNumberFormat="1" applyFont="1" applyFill="1" applyBorder="1" applyAlignment="1">
      <x:alignment horizontal="center" vertical="center"/>
    </x:xf>
    <x:xf numFmtId="204" fontId="10" fillId="13" borderId="8" xfId="0" applyNumberFormat="1" applyFont="1" applyFill="1" applyBorder="1" applyAlignment="1">
      <x:alignment horizontal="center" vertical="center"/>
    </x:xf>
    <x:xf numFmtId="0" fontId="10" fillId="13" borderId="8" xfId="0" applyNumberFormat="1" applyFont="1" applyFill="1" applyBorder="1" applyAlignment="1">
      <x:alignment horizontal="center" vertical="center"/>
    </x:xf>
    <x:xf numFmtId="204" fontId="13" fillId="13" borderId="8" xfId="0" applyNumberFormat="1" applyFont="1" applyFill="1" applyBorder="1" applyAlignment="1">
      <x:alignment horizontal="center" vertical="center"/>
    </x:xf>
    <x:xf numFmtId="0" fontId="13" fillId="13" borderId="8" xfId="0" applyNumberFormat="1" applyFont="1" applyFill="1" applyBorder="1" applyAlignment="1">
      <x:alignment horizontal="center" vertical="center"/>
    </x:xf>
    <x:xf numFmtId="204" fontId="10" fillId="14" borderId="8" xfId="0" applyNumberFormat="1" applyFont="1" applyFill="1" applyBorder="1" applyAlignment="1">
      <x:alignment horizontal="center" vertical="center"/>
    </x:xf>
    <x:xf numFmtId="0" fontId="10" fillId="14" borderId="8" xfId="0" applyNumberFormat="1" applyFont="1" applyFill="1" applyBorder="1" applyAlignment="1">
      <x:alignment horizontal="center" vertical="center"/>
    </x:xf>
    <x:xf numFmtId="0" fontId="11" fillId="14" borderId="8" xfId="0" applyNumberFormat="1" applyFont="1" applyFill="1" applyBorder="1" applyAlignment="1">
      <x:alignment horizontal="center" vertical="center"/>
    </x:xf>
    <x:xf numFmtId="0" fontId="12" fillId="14" borderId="7" xfId="0" applyNumberFormat="1" applyFont="1" applyFill="1" applyBorder="1" applyAlignment="1">
      <x:alignment horizontal="center" vertical="center"/>
    </x:xf>
    <x:xf numFmtId="0" fontId="3" fillId="14" borderId="0" xfId="0" applyNumberFormat="1" applyFont="1" applyFill="1" applyBorder="1" applyAlignment="1">
      <x:alignment vertical="center"/>
    </x:xf>
    <x:xf numFmtId="202" fontId="13" fillId="14" borderId="7" xfId="0" applyNumberFormat="1" applyFont="1" applyFill="1" applyBorder="1" applyAlignment="1">
      <x:alignment vertical="center"/>
    </x:xf>
    <x:xf numFmtId="203" fontId="13" fillId="14" borderId="7" xfId="0" applyNumberFormat="1" applyFont="1" applyFill="1" applyBorder="1" applyAlignment="1">
      <x:alignment vertical="center"/>
    </x:xf>
    <x:xf numFmtId="0" fontId="14" fillId="11" borderId="7" xfId="0" applyNumberFormat="1" applyFont="1" applyFill="1" applyBorder="1" applyAlignment="1">
      <x:alignment horizontal="center" vertical="center"/>
    </x:xf>
    <x:xf numFmtId="0" fontId="14" fillId="6" borderId="7" xfId="0" applyNumberFormat="1" applyFont="1" applyFill="1" applyBorder="1" applyAlignment="1">
      <x:alignment horizontal="center" vertical="center"/>
    </x:xf>
    <x:xf numFmtId="0" fontId="15" fillId="0" borderId="0" xfId="0" applyNumberFormat="1" applyFont="1" applyFill="1" applyBorder="1"/>
    <x:xf numFmtId="0" fontId="1" fillId="15" borderId="2" xfId="0" applyNumberFormat="1" applyFont="1" applyFill="1" applyBorder="1" applyAlignment="1">
      <x:alignment horizontal="center" vertical="center"/>
    </x:xf>
    <x:xf numFmtId="0" fontId="7" fillId="15" borderId="5" xfId="0" applyNumberFormat="1" applyFont="1" applyFill="1" applyBorder="1" applyAlignment="1">
      <x:alignment horizontal="center" vertical="center"/>
    </x:xf>
    <x:xf numFmtId="201" fontId="5" fillId="15" borderId="0" xfId="0" applyNumberFormat="1" applyFont="1" applyFill="1" applyBorder="1" applyAlignment="1">
      <x:alignment vertical="center"/>
    </x:xf>
    <x:xf numFmtId="204" fontId="10" fillId="16" borderId="8" xfId="0" applyNumberFormat="1" applyFont="1" applyFill="1" applyBorder="1" applyAlignment="1">
      <x:alignment horizontal="center" vertical="center"/>
    </x:xf>
    <x:xf numFmtId="0" fontId="10" fillId="16" borderId="8" xfId="0" applyNumberFormat="1" applyFont="1" applyFill="1" applyBorder="1" applyAlignment="1">
      <x:alignment horizontal="center" vertical="center"/>
    </x:xf>
    <x:xf numFmtId="204" fontId="10" fillId="15" borderId="8" xfId="0" applyNumberFormat="1" applyFont="1" applyFill="1" applyBorder="1" applyAlignment="1">
      <x:alignment horizontal="center" vertical="center"/>
    </x:xf>
    <x:xf numFmtId="0" fontId="10" fillId="15" borderId="8" xfId="0" applyNumberFormat="1" applyFont="1" applyFill="1" applyBorder="1" applyAlignment="1">
      <x:alignment horizontal="center" vertical="center"/>
    </x:xf>
    <x:xf numFmtId="204" fontId="16" fillId="15" borderId="8" xfId="0" applyNumberFormat="1" applyFont="1" applyFill="1" applyBorder="1" applyAlignment="1">
      <x:alignment horizontal="center" vertical="center"/>
    </x:xf>
    <x:xf numFmtId="0" fontId="16" fillId="15" borderId="8" xfId="0" applyNumberFormat="1" applyFont="1" applyFill="1" applyBorder="1" applyAlignment="1">
      <x:alignment horizontal="center" vertical="center"/>
    </x:xf>
    <x:xf numFmtId="204" fontId="13" fillId="16" borderId="8" xfId="0" applyNumberFormat="1" applyFont="1" applyFill="1" applyBorder="1" applyAlignment="1">
      <x:alignment horizontal="center" vertical="center"/>
    </x:xf>
    <x:xf numFmtId="0" fontId="13" fillId="16" borderId="8" xfId="0" applyNumberFormat="1" applyFont="1" applyFill="1" applyBorder="1" applyAlignment="1">
      <x:alignment horizontal="center" vertical="center"/>
    </x:xf>
    <x:xf numFmtId="204" fontId="16" fillId="17" borderId="8" xfId="0" applyNumberFormat="1" applyFont="1" applyFill="1" applyBorder="1" applyAlignment="1">
      <x:alignment horizontal="center" vertical="center"/>
    </x:xf>
    <x:xf numFmtId="0" fontId="16" fillId="17" borderId="8" xfId="0" applyNumberFormat="1" applyFont="1" applyFill="1" applyBorder="1" applyAlignment="1">
      <x:alignment horizontal="center" vertical="center"/>
    </x:xf>
    <x:xf numFmtId="0" fontId="11" fillId="17" borderId="8" xfId="0" applyNumberFormat="1" applyFont="1" applyFill="1" applyBorder="1" applyAlignment="1">
      <x:alignment horizontal="center" vertical="center"/>
    </x:xf>
    <x:xf numFmtId="0" fontId="14" fillId="17" borderId="7" xfId="0" applyNumberFormat="1" applyFont="1" applyFill="1" applyBorder="1" applyAlignment="1">
      <x:alignment horizontal="center" vertical="center"/>
    </x:xf>
    <x:xf numFmtId="203" fontId="1" fillId="0" borderId="0" xfId="0" applyNumberFormat="1" applyFont="1" applyFill="1" applyBorder="1" applyAlignment="1">
      <x:alignment vertical="center"/>
    </x:xf>
    <x:xf numFmtId="0" fontId="11" fillId="18" borderId="8" xfId="0" applyNumberFormat="1" applyFont="1" applyFill="1" applyBorder="1" applyAlignment="1">
      <x:alignment horizontal="center" vertical="center"/>
    </x:xf>
    <x:xf numFmtId="204" fontId="16" fillId="19" borderId="8" xfId="0" applyNumberFormat="1" applyFont="1" applyFill="1" applyBorder="1" applyAlignment="1">
      <x:alignment horizontal="center" vertical="center"/>
    </x:xf>
    <x:xf numFmtId="0" fontId="16" fillId="19" borderId="8" xfId="0" applyNumberFormat="1" applyFont="1" applyFill="1" applyBorder="1" applyAlignment="1">
      <x:alignment horizontal="center" vertical="center"/>
    </x:xf>
    <x:xf numFmtId="0" fontId="11" fillId="19" borderId="8" xfId="0" applyNumberFormat="1" applyFont="1" applyFill="1" applyBorder="1" applyAlignment="1">
      <x:alignment horizontal="center" vertical="center"/>
    </x:xf>
    <x:xf numFmtId="0" fontId="14" fillId="19" borderId="7" xfId="0" applyNumberFormat="1" applyFont="1" applyFill="1" applyBorder="1" applyAlignment="1">
      <x:alignment horizontal="center" vertical="center"/>
    </x:xf>
    <x:xf numFmtId="0" fontId="14" fillId="20" borderId="7" xfId="0" applyNumberFormat="1" applyFont="1" applyFill="1" applyBorder="1" applyAlignment="1">
      <x:alignment horizontal="center" vertical="center"/>
    </x:xf>
    <x:xf numFmtId="200" fontId="6" fillId="21" borderId="0" xfId="0" applyNumberFormat="1" applyFont="1" applyFill="1" applyBorder="1" applyAlignment="1">
      <x:alignment horizontal="center" vertical="center" wrapText="1"/>
    </x:xf>
    <x:xf numFmtId="0" fontId="1" fillId="21" borderId="0" xfId="0" applyNumberFormat="1" applyFont="1" applyFill="1" applyBorder="1" applyAlignment="1">
      <x:alignment horizontal="center" vertical="center"/>
    </x:xf>
    <x:xf numFmtId="0" fontId="1" fillId="21" borderId="2" xfId="0" applyNumberFormat="1" applyFont="1" applyFill="1" applyBorder="1" applyAlignment="1">
      <x:alignment horizontal="center" vertical="center"/>
    </x:xf>
    <x:xf numFmtId="0" fontId="7" fillId="21" borderId="5" xfId="0" applyNumberFormat="1" applyFont="1" applyFill="1" applyBorder="1" applyAlignment="1">
      <x:alignment horizontal="center" vertical="center"/>
    </x:xf>
    <x:xf numFmtId="0" fontId="1" fillId="22" borderId="2" xfId="0" applyNumberFormat="1" applyFont="1" applyFill="1" applyBorder="1" applyAlignment="1">
      <x:alignment horizontal="center" vertical="center"/>
    </x:xf>
    <x:xf numFmtId="0" fontId="7" fillId="22" borderId="5" xfId="0" applyNumberFormat="1" applyFont="1" applyFill="1" applyBorder="1" applyAlignment="1">
      <x:alignment horizontal="center" vertical="center"/>
    </x:xf>
    <x:xf numFmtId="205" fontId="6" fillId="7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9">
    <x:dxf>
      <x:font>
        <x:color rgb="FF9F2525"/>
      </x:font>
      <x:fill>
        <x:patternFill>
          <x:bgColor rgb="FFFCE2E2"/>
        </x:patternFill>
      </x:fill>
    </x:dxf>
    <x:dxf>
      <x:font>
        <x:color rgb="FF9F2525"/>
      </x:font>
      <x:fill>
        <x:patternFill>
          <x:bgColor rgb="FFFFF2CC"/>
        </x:patternFill>
      </x:fill>
    </x:dxf>
    <x:dxf>
      <x:font>
        <x:color rgb="FF9F2525"/>
      </x:font>
      <x:fill>
        <x:patternFill>
          <x:bgColor rgb="FFFCE2E2"/>
        </x:patternFill>
      </x:fill>
    </x:dxf>
    <x:dxf>
      <x:font>
        <x:color rgb="FF9F2525"/>
      </x:font>
      <x:fill>
        <x:patternFill>
          <x:bgColor rgb="FFFCE2E2"/>
        </x:patternFill>
      </x:fill>
    </x:dxf>
    <x:dxf>
      <x:font>
        <x:color rgb="FF9F2525"/>
      </x:font>
      <x:fill>
        <x:patternFill>
          <x:bgColor rgb="FFFCE2E2"/>
        </x:patternFill>
      </x:fill>
    </x:dxf>
    <x:dxf>
      <x:font>
        <x:color rgb="FF9F2525"/>
      </x:font>
      <x:fill>
        <x:patternFill>
          <x:bgColor rgb="FFFCE2E2"/>
        </x:patternFill>
      </x:fill>
    </x:dxf>
    <x:dxf>
      <x:font>
        <x:color rgb="FF243746"/>
      </x:font>
      <x:fill>
        <x:patternFill>
          <x:bgColor rgb="FFFFF2CC"/>
        </x:patternFill>
      </x:fill>
    </x:dxf>
    <x:dxf>
      <x:font>
        <x:color rgb="FF243746"/>
      </x:font>
      <x:fill>
        <x:patternFill>
          <x:bgColor rgb="FFFFF2CC"/>
        </x:patternFill>
      </x:fill>
    </x:dxf>
    <x:dxf>
      <x:font>
        <x:color rgb="FF243746"/>
      </x:font>
      <x:fill>
        <x:patternFill>
          <x:bgColor rgb="FFE2F0D9"/>
        </x:patternFill>
      </x:fill>
    </x:dxf>
    <x:dxf>
      <x:font>
        <x:b/>
        <x:color rgb="FF243746"/>
      </x:font>
      <x:fill>
        <x:patternFill>
          <x:bgColor rgb="FFFFF2CC"/>
        </x:patternFill>
      </x:fill>
    </x:dxf>
    <x:dxf>
      <x:font>
        <x:b/>
        <x:color rgb="FF243746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cee212ac9c4c65" /><Relationship Type="http://schemas.openxmlformats.org/officeDocument/2006/relationships/theme" Target="/xl/theme/theme1.xml" Id="Rd8c494e0c178440f" /><Relationship Type="http://schemas.openxmlformats.org/officeDocument/2006/relationships/sharedStrings" Target="/xl/sharedStrings.xml" Id="Rb201cc0e46f148de" /><Relationship Type="http://schemas.openxmlformats.org/officeDocument/2006/relationships/worksheet" Target="/xl/worksheets/sheet1.xml" Id="R6705791e56ae4aed" /><Relationship Type="http://schemas.openxmlformats.org/officeDocument/2006/relationships/worksheet" Target="/xl/worksheets/sheet2.xml" Id="R43eb8965280d42d0" /><Relationship Type="http://schemas.openxmlformats.org/officeDocument/2006/relationships/worksheet" Target="/xl/worksheets/sheet3.xml" Id="R81c60bf187a343d9" /><Relationship Type="http://schemas.openxmlformats.org/officeDocument/2006/relationships/worksheet" Target="/xl/worksheets/sheet4.xml" Id="R5317c339502649af" /><Relationship Type="http://schemas.openxmlformats.org/officeDocument/2006/relationships/worksheet" Target="/xl/worksheets/sheet5.xml" Id="R1045dd48f5504eee" /><Relationship Type="http://schemas.openxmlformats.org/officeDocument/2006/relationships/worksheet" Target="/xl/worksheets/sheet6.xml" Id="Rc2a390f783ed4b46" /><Relationship Type="http://schemas.openxmlformats.org/officeDocument/2006/relationships/worksheet" Target="/xl/worksheets/sheet7.xml" Id="R391897bc39d448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10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2" hidden="0" customWidth="1"/>
    <x:col min="11" max="11" width="12" hidden="0" customWidth="1"/>
  </x:cols>
  <x:sheetData>
    <x:row r="1" ht="38" customHeight="1">
      <x:c r="A1" s="4" t="str">
        <x:v>匿名歷史成果｜2026/10/19–10/25 週班表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3" customHeight="1">
      <x:c r="A2" s="7" t="str">
        <x:v>展示用副本；非現行核定班表。保留原有待確認事項，未重新驗證全部排班規則。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3" ht="23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  <x:c r="K3" s="7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0" customHeight="1">
      <x:c r="A5" s="10" t="str">
        <x:v>身分</x:v>
      </x:c>
      <x:c r="B5" s="10" t="str">
        <x:v>姓名</x:v>
      </x:c>
      <x:c r="C5" s="18" t="n">
        <x:v>46314</x:v>
      </x:c>
      <x:c r="D5" s="18" t="n">
        <x:v>46315</x:v>
      </x:c>
      <x:c r="E5" s="18" t="n">
        <x:v>46316</x:v>
      </x:c>
      <x:c r="F5" s="18" t="n">
        <x:v>46317</x:v>
      </x:c>
      <x:c r="G5" s="18" t="n">
        <x:v>46318</x:v>
      </x:c>
      <x:c r="H5" s="23" t="n">
        <x:v>46319</x:v>
      </x:c>
      <x:c r="I5" s="118" t="n">
        <x:v>46320</x:v>
      </x:c>
      <x:c r="J5" s="19" t="str">
        <x:v>週工時</x:v>
      </x:c>
      <x:c r="K5" s="19" t="str">
        <x:v>工作天</x:v>
      </x:c>
    </x:row>
    <x:row r="6" ht="24" customHeight="1">
      <x:c r="A6" s="2"/>
      <x:c r="B6" s="2"/>
      <x:c r="C6" s="20" t="str">
        <x:v>一</x:v>
      </x:c>
      <x:c r="D6" s="20" t="str">
        <x:v>二</x:v>
      </x:c>
      <x:c r="E6" s="20" t="str">
        <x:v>三</x:v>
      </x:c>
      <x:c r="F6" s="20" t="str">
        <x:v>四</x:v>
      </x:c>
      <x:c r="G6" s="20" t="str">
        <x:v>五</x:v>
      </x:c>
      <x:c r="H6" s="22" t="str">
        <x:v>六</x:v>
      </x:c>
      <x:c r="I6" s="113" t="str">
        <x:v>日</x:v>
      </x:c>
      <x:c r="J6" s="20"/>
      <x:c r="K6" s="20"/>
    </x:row>
    <x:row r="7" ht="31" customHeight="1">
      <x:c r="A7" s="24" t="str">
        <x:v>店長</x:v>
      </x:c>
      <x:c r="B7" s="25" t="str">
        <x:v>P01</x:v>
      </x:c>
      <x:c r="C7" s="26" t="str">
        <x:f>IF('班次明細'!L6&gt;0,TEXT('班次明細'!G6,"hh:mm")&amp;"–"&amp;TEXT('班次明細'!H6,"hh:mm"),'班次明細'!E6)</x:f>
        <x:v>11:00–21:00</x:v>
      </x:c>
      <x:c r="D7" s="26" t="str">
        <x:f>IF('班次明細'!L7&gt;0,TEXT('班次明細'!G7,"hh:mm")&amp;"–"&amp;TEXT('班次明細'!H7,"hh:mm"),'班次明細'!E7)</x:f>
        <x:v>休</x:v>
      </x:c>
      <x:c r="E7" s="26" t="str">
        <x:f>IF('班次明細'!L8&gt;0,TEXT('班次明細'!G8,"hh:mm")&amp;"–"&amp;TEXT('班次明細'!H8,"hh:mm"),'班次明細'!E8)</x:f>
        <x:v>11:00–21:00</x:v>
      </x:c>
      <x:c r="F7" s="26" t="str">
        <x:f>IF('班次明細'!L9&gt;0,TEXT('班次明細'!G9,"hh:mm")&amp;"–"&amp;TEXT('班次明細'!H9,"hh:mm"),'班次明細'!E9)</x:f>
        <x:v>11:00–21:00</x:v>
      </x:c>
      <x:c r="G7" s="26" t="str">
        <x:f>IF('班次明細'!L10&gt;0,TEXT('班次明細'!G10,"hh:mm")&amp;"–"&amp;TEXT('班次明細'!H10,"hh:mm"),'班次明細'!E10)</x:f>
        <x:v>11:00–21:00</x:v>
      </x:c>
      <x:c r="H7" s="26" t="str">
        <x:f>IF('班次明細'!L11&gt;0,TEXT('班次明細'!G11,"hh:mm")&amp;"–"&amp;TEXT('班次明細'!H11,"hh:mm"),'班次明細'!E11)</x:f>
        <x:v>11:00–21:00</x:v>
      </x:c>
      <x:c r="I7" s="114" t="str">
        <x:f>IF('班次明細'!L12&gt;0,TEXT('班次明細'!G12,"hh:mm")&amp;"–"&amp;TEXT('班次明細'!H12,"hh:mm"),'班次明細'!E12)</x:f>
        <x:v>X</x:v>
      </x:c>
      <x:c r="J7" s="41" t="n">
        <x:f>'工時與休假'!C6</x:f>
        <x:v>40</x:v>
      </x:c>
      <x:c r="K7" s="27" t="n">
        <x:f>'工時與休假'!D6</x:f>
        <x:v>5</x:v>
      </x:c>
    </x:row>
    <x:row r="8" ht="25" customHeight="1">
      <x:c r="A8" s="28"/>
      <x:c r="B8" s="29"/>
      <x:c r="C8" s="32" t="str">
        <x:f>'班次明細'!O6</x:f>
        <x:v>外場</x:v>
      </x:c>
      <x:c r="D8" s="32" t="str">
        <x:f>'班次明細'!O7</x:f>
        <x:v>—</x:v>
      </x:c>
      <x:c r="E8" s="32" t="str">
        <x:f>'班次明細'!O8</x:f>
        <x:v>炸區</x:v>
      </x:c>
      <x:c r="F8" s="32" t="str">
        <x:f>'班次明細'!O9</x:f>
        <x:v>外場</x:v>
      </x:c>
      <x:c r="G8" s="32" t="str">
        <x:f>'班次明細'!O10</x:f>
        <x:v>外場</x:v>
      </x:c>
      <x:c r="H8" s="32" t="str">
        <x:f>'班次明細'!O11</x:f>
        <x:v>外場</x:v>
      </x:c>
      <x:c r="I8" s="115" t="str">
        <x:f>'班次明細'!O12</x:f>
        <x:v>—</x:v>
      </x:c>
      <x:c r="J8" s="42"/>
      <x:c r="K8" s="31"/>
    </x:row>
    <x:row r="9" ht="31" customHeight="1">
      <x:c r="A9" s="24" t="str">
        <x:v>正職</x:v>
      </x:c>
      <x:c r="B9" s="25" t="str">
        <x:v>P02</x:v>
      </x:c>
      <x:c r="C9" s="26" t="str">
        <x:f>IF('班次明細'!L13&gt;0,TEXT('班次明細'!G13,"hh:mm")&amp;"–"&amp;TEXT('班次明細'!H13,"hh:mm"),'班次明細'!E13)</x:f>
        <x:v>11:30–21:30</x:v>
      </x:c>
      <x:c r="D9" s="26" t="str">
        <x:f>IF('班次明細'!L14&gt;0,TEXT('班次明細'!G14,"hh:mm")&amp;"–"&amp;TEXT('班次明細'!H14,"hh:mm"),'班次明細'!E14)</x:f>
        <x:v>11:00–21:00</x:v>
      </x:c>
      <x:c r="E9" s="26" t="str">
        <x:f>IF('班次明細'!L15&gt;0,TEXT('班次明細'!G15,"hh:mm")&amp;"–"&amp;TEXT('班次明細'!H15,"hh:mm"),'班次明細'!E15)</x:f>
        <x:v>11:30–21:30</x:v>
      </x:c>
      <x:c r="F9" s="26" t="str">
        <x:f>IF('班次明細'!L16&gt;0,TEXT('班次明細'!G16,"hh:mm")&amp;"–"&amp;TEXT('班次明細'!H16,"hh:mm"),'班次明細'!E16)</x:f>
        <x:v>X</x:v>
      </x:c>
      <x:c r="G9" s="34" t="str">
        <x:f>IF('班次明細'!L17&gt;0,TEXT('班次明細'!G17,"hh:mm")&amp;"–"&amp;TEXT('班次明細'!H17,"hh:mm"),'班次明細'!E17)</x:f>
        <x:v>X</x:v>
      </x:c>
      <x:c r="H9" s="26" t="str">
        <x:f>IF('班次明細'!L18&gt;0,TEXT('班次明細'!G18,"hh:mm")&amp;"–"&amp;TEXT('班次明細'!H18,"hh:mm"),'班次明細'!E18)</x:f>
        <x:v>X</x:v>
      </x:c>
      <x:c r="I9" s="114" t="str">
        <x:f>IF('班次明細'!L19&gt;0,TEXT('班次明細'!G19,"hh:mm")&amp;"–"&amp;TEXT('班次明細'!H19,"hh:mm"),'班次明細'!E19)</x:f>
        <x:v>11:00–21:00</x:v>
      </x:c>
      <x:c r="J9" s="41" t="n">
        <x:f>'工時與休假'!C7</x:f>
        <x:v>32</x:v>
      </x:c>
      <x:c r="K9" s="27" t="n">
        <x:f>'工時與休假'!D7</x:f>
        <x:v>4</x:v>
      </x:c>
    </x:row>
    <x:row r="10" ht="25" customHeight="1">
      <x:c r="A10" s="28"/>
      <x:c r="B10" s="29"/>
      <x:c r="C10" s="32" t="str">
        <x:f>'班次明細'!O13</x:f>
        <x:v>吧台</x:v>
      </x:c>
      <x:c r="D10" s="32" t="str">
        <x:f>'班次明細'!O14</x:f>
        <x:v>炸區</x:v>
      </x:c>
      <x:c r="E10" s="32" t="str">
        <x:f>'班次明細'!O15</x:f>
        <x:v>吧台</x:v>
      </x:c>
      <x:c r="F10" s="32" t="str">
        <x:f>'班次明細'!O16</x:f>
        <x:v>—</x:v>
      </x:c>
      <x:c r="G10" s="36" t="str">
        <x:f>'班次明細'!O17</x:f>
        <x:v>—</x:v>
      </x:c>
      <x:c r="H10" s="32" t="str">
        <x:f>'班次明細'!O18</x:f>
        <x:v>—</x:v>
      </x:c>
      <x:c r="I10" s="115" t="str">
        <x:f>'班次明細'!O19</x:f>
        <x:v>外場</x:v>
      </x:c>
      <x:c r="J10" s="42"/>
      <x:c r="K10" s="31"/>
    </x:row>
    <x:row r="11" ht="31" customHeight="1">
      <x:c r="A11" s="24" t="str">
        <x:v>正職</x:v>
      </x:c>
      <x:c r="B11" s="25" t="str">
        <x:v>P03</x:v>
      </x:c>
      <x:c r="C11" s="34" t="str">
        <x:f>IF('班次明細'!L20&gt;0,TEXT('班次明細'!G20,"hh:mm")&amp;"–"&amp;TEXT('班次明細'!H20,"hh:mm"),'班次明細'!E20)</x:f>
        <x:v>X</x:v>
      </x:c>
      <x:c r="D11" s="26" t="str">
        <x:f>IF('班次明細'!L21&gt;0,TEXT('班次明細'!G21,"hh:mm")&amp;"–"&amp;TEXT('班次明細'!H21,"hh:mm"),'班次明細'!E21)</x:f>
        <x:v>11:30–21:30</x:v>
      </x:c>
      <x:c r="E11" s="26" t="str">
        <x:f>IF('班次明細'!L22&gt;0,TEXT('班次明細'!G22,"hh:mm")&amp;"–"&amp;TEXT('班次明細'!H22,"hh:mm"),'班次明細'!E22)</x:f>
        <x:v>休</x:v>
      </x:c>
      <x:c r="F11" s="26" t="str">
        <x:f>IF('班次明細'!L23&gt;0,TEXT('班次明細'!G23,"hh:mm")&amp;"–"&amp;TEXT('班次明細'!H23,"hh:mm"),'班次明細'!E23)</x:f>
        <x:v>11:30–21:30</x:v>
      </x:c>
      <x:c r="G11" s="26" t="str">
        <x:f>IF('班次明細'!L24&gt;0,TEXT('班次明細'!G24,"hh:mm")&amp;"–"&amp;TEXT('班次明細'!H24,"hh:mm"),'班次明細'!E24)</x:f>
        <x:v>11:30–21:30</x:v>
      </x:c>
      <x:c r="H11" s="26" t="str">
        <x:f>IF('班次明細'!L25&gt;0,TEXT('班次明細'!G25,"hh:mm")&amp;"–"&amp;TEXT('班次明細'!H25,"hh:mm"),'班次明細'!E25)</x:f>
        <x:v>11:30–21:30</x:v>
      </x:c>
      <x:c r="I11" s="114" t="str">
        <x:f>IF('班次明細'!L26&gt;0,TEXT('班次明細'!G26,"hh:mm")&amp;"–"&amp;TEXT('班次明細'!H26,"hh:mm"),'班次明細'!E26)</x:f>
        <x:v>11:30–21:30</x:v>
      </x:c>
      <x:c r="J11" s="41" t="n">
        <x:f>'工時與休假'!C8</x:f>
        <x:v>40</x:v>
      </x:c>
      <x:c r="K11" s="27" t="n">
        <x:f>'工時與休假'!D8</x:f>
        <x:v>5</x:v>
      </x:c>
    </x:row>
    <x:row r="12" ht="25" customHeight="1">
      <x:c r="A12" s="28"/>
      <x:c r="B12" s="29"/>
      <x:c r="C12" s="36" t="str">
        <x:f>'班次明細'!O20</x:f>
        <x:v>—</x:v>
      </x:c>
      <x:c r="D12" s="32" t="str">
        <x:f>'班次明細'!O21</x:f>
        <x:v>吧台</x:v>
      </x:c>
      <x:c r="E12" s="32" t="str">
        <x:f>'班次明細'!O22</x:f>
        <x:v>—</x:v>
      </x:c>
      <x:c r="F12" s="32" t="str">
        <x:f>'班次明細'!O23</x:f>
        <x:v>吧台</x:v>
      </x:c>
      <x:c r="G12" s="32" t="str">
        <x:f>'班次明細'!O24</x:f>
        <x:v>吧台</x:v>
      </x:c>
      <x:c r="H12" s="32" t="str">
        <x:f>'班次明細'!O25</x:f>
        <x:v>吧台</x:v>
      </x:c>
      <x:c r="I12" s="115" t="str">
        <x:f>'班次明細'!O26</x:f>
        <x:v>吧台</x:v>
      </x:c>
      <x:c r="J12" s="42"/>
      <x:c r="K12" s="31"/>
    </x:row>
    <x:row r="13" ht="31" customHeight="1">
      <x:c r="A13" s="24" t="str">
        <x:v>工讀</x:v>
      </x:c>
      <x:c r="B13" s="25" t="str">
        <x:v>P04</x:v>
      </x:c>
      <x:c r="C13" s="26" t="str">
        <x:f>IF('班次明細'!L27&gt;0,TEXT('班次明細'!G27,"hh:mm")&amp;"–"&amp;TEXT('班次明細'!H27,"hh:mm"),'班次明細'!E27)</x:f>
        <x:v>X</x:v>
      </x:c>
      <x:c r="D13" s="26" t="str">
        <x:f>IF('班次明細'!L28&gt;0,TEXT('班次明細'!G28,"hh:mm")&amp;"–"&amp;TEXT('班次明細'!H28,"hh:mm"),'班次明細'!E28)</x:f>
        <x:v>X</x:v>
      </x:c>
      <x:c r="E13" s="26" t="str">
        <x:f>IF('班次明細'!L29&gt;0,TEXT('班次明細'!G29,"hh:mm")&amp;"–"&amp;TEXT('班次明細'!H29,"hh:mm"),'班次明細'!E29)</x:f>
        <x:v>11:30–21:30</x:v>
      </x:c>
      <x:c r="F13" s="26" t="str">
        <x:f>IF('班次明細'!L30&gt;0,TEXT('班次明細'!G30,"hh:mm")&amp;"–"&amp;TEXT('班次明細'!H30,"hh:mm"),'班次明細'!E30)</x:f>
        <x:v>17:00–21:30</x:v>
      </x:c>
      <x:c r="G13" s="26" t="str">
        <x:f>IF('班次明細'!L31&gt;0,TEXT('班次明細'!G31,"hh:mm")&amp;"–"&amp;TEXT('班次明細'!H31,"hh:mm"),'班次明細'!E31)</x:f>
        <x:v>X</x:v>
      </x:c>
      <x:c r="H13" s="26" t="str">
        <x:f>IF('班次明細'!L32&gt;0,TEXT('班次明細'!G32,"hh:mm")&amp;"–"&amp;TEXT('班次明細'!H32,"hh:mm"),'班次明細'!E32)</x:f>
        <x:v>11:30–21:30</x:v>
      </x:c>
      <x:c r="I13" s="114" t="str">
        <x:f>IF('班次明細'!L33&gt;0,TEXT('班次明細'!G33,"hh:mm")&amp;"–"&amp;TEXT('班次明細'!H33,"hh:mm"),'班次明細'!E33)</x:f>
        <x:v>X</x:v>
      </x:c>
      <x:c r="J13" s="41" t="n">
        <x:f>'工時與休假'!C9</x:f>
        <x:v>20</x:v>
      </x:c>
      <x:c r="K13" s="27" t="n">
        <x:f>'工時與休假'!D9</x:f>
        <x:v>3</x:v>
      </x:c>
    </x:row>
    <x:row r="14" ht="25" customHeight="1">
      <x:c r="A14" s="28"/>
      <x:c r="B14" s="29"/>
      <x:c r="C14" s="32" t="str">
        <x:f>'班次明細'!O27</x:f>
        <x:v>—</x:v>
      </x:c>
      <x:c r="D14" s="32" t="str">
        <x:f>'班次明細'!O28</x:f>
        <x:v>—</x:v>
      </x:c>
      <x:c r="E14" s="32" t="str">
        <x:f>'班次明細'!O29</x:f>
        <x:v>料區；外場</x:v>
      </x:c>
      <x:c r="F14" s="32" t="str">
        <x:f>'班次明細'!O30</x:f>
        <x:v>料區</x:v>
      </x:c>
      <x:c r="G14" s="32" t="str">
        <x:f>'班次明細'!O31</x:f>
        <x:v>—</x:v>
      </x:c>
      <x:c r="H14" s="32" t="str">
        <x:f>'班次明細'!O32</x:f>
        <x:v>控場</x:v>
      </x:c>
      <x:c r="I14" s="115" t="str">
        <x:f>'班次明細'!O33</x:f>
        <x:v>—</x:v>
      </x:c>
      <x:c r="J14" s="42"/>
      <x:c r="K14" s="31"/>
    </x:row>
    <x:row r="15" ht="31" customHeight="1">
      <x:c r="A15" s="24" t="str">
        <x:v>工讀</x:v>
      </x:c>
      <x:c r="B15" s="25" t="str">
        <x:v>P05</x:v>
      </x:c>
      <x:c r="C15" s="34" t="str">
        <x:f>IF('班次明細'!L34&gt;0,TEXT('班次明細'!G34,"hh:mm")&amp;"–"&amp;TEXT('班次明細'!H34,"hh:mm"),'班次明細'!E34)</x:f>
        <x:v>X</x:v>
      </x:c>
      <x:c r="D15" s="34" t="str">
        <x:f>IF('班次明細'!L35&gt;0,TEXT('班次明細'!G35,"hh:mm")&amp;"–"&amp;TEXT('班次明細'!H35,"hh:mm"),'班次明細'!E35)</x:f>
        <x:v>休</x:v>
      </x:c>
      <x:c r="E15" s="26" t="str">
        <x:f>IF('班次明細'!L36&gt;0,TEXT('班次明細'!G36,"hh:mm")&amp;"–"&amp;TEXT('班次明細'!H36,"hh:mm"),'班次明細'!E36)</x:f>
        <x:v>10:00–15:30</x:v>
      </x:c>
      <x:c r="F15" s="26" t="str">
        <x:f>IF('班次明細'!L37&gt;0,TEXT('班次明細'!G37,"hh:mm")&amp;"–"&amp;TEXT('班次明細'!H37,"hh:mm"),'班次明細'!E37)</x:f>
        <x:v>休</x:v>
      </x:c>
      <x:c r="G15" s="34" t="str">
        <x:f>IF('班次明細'!L38&gt;0,TEXT('班次明細'!G38,"hh:mm")&amp;"–"&amp;TEXT('班次明細'!H38,"hh:mm"),'班次明細'!E38)</x:f>
        <x:v>17:00–21:30</x:v>
      </x:c>
      <x:c r="H15" s="38" t="str">
        <x:f>IF('班次明細'!L39&gt;0,TEXT('班次明細'!G39,"hh:mm")&amp;"–"&amp;TEXT('班次明細'!H39,"hh:mm"),'班次明細'!E39)</x:f>
        <x:v>12:00–22:00</x:v>
      </x:c>
      <x:c r="I15" s="114" t="str">
        <x:f>IF('班次明細'!L40&gt;0,TEXT('班次明細'!G40,"hh:mm")&amp;"–"&amp;TEXT('班次明細'!H40,"hh:mm"),'班次明細'!E40)</x:f>
        <x:v>12:00–22:00</x:v>
      </x:c>
      <x:c r="J15" s="41" t="n">
        <x:f>'工時與休假'!C10</x:f>
        <x:v>17</x:v>
      </x:c>
      <x:c r="K15" s="27" t="n">
        <x:f>'工時與休假'!D10</x:f>
        <x:v>3</x:v>
      </x:c>
    </x:row>
    <x:row r="16" ht="25" customHeight="1">
      <x:c r="A16" s="28"/>
      <x:c r="B16" s="29"/>
      <x:c r="C16" s="36" t="str">
        <x:f>'班次明細'!O34</x:f>
        <x:v>—</x:v>
      </x:c>
      <x:c r="D16" s="36" t="str">
        <x:f>'班次明細'!O35</x:f>
        <x:v>—</x:v>
      </x:c>
      <x:c r="E16" s="32" t="str">
        <x:f>'班次明細'!O36</x:f>
        <x:v>外場</x:v>
      </x:c>
      <x:c r="F16" s="32" t="str">
        <x:f>'班次明細'!O37</x:f>
        <x:v>—</x:v>
      </x:c>
      <x:c r="G16" s="36" t="str">
        <x:f>'班次明細'!O38</x:f>
        <x:v>炸區</x:v>
      </x:c>
      <x:c r="H16" s="40" t="str">
        <x:f>'班次明細'!O39</x:f>
        <x:v>炸區</x:v>
      </x:c>
      <x:c r="I16" s="115" t="str">
        <x:f>'班次明細'!O40</x:f>
        <x:v>控場；炸區</x:v>
      </x:c>
      <x:c r="J16" s="42"/>
      <x:c r="K16" s="31"/>
    </x:row>
    <x:row r="17" ht="31" customHeight="1">
      <x:c r="A17" s="24" t="str">
        <x:v>工讀</x:v>
      </x:c>
      <x:c r="B17" s="25" t="str">
        <x:v>P06</x:v>
      </x:c>
      <x:c r="C17" s="26" t="str">
        <x:f>IF('班次明細'!L41&gt;0,TEXT('班次明細'!G41,"hh:mm")&amp;"–"&amp;TEXT('班次明細'!H41,"hh:mm"),'班次明細'!E41)</x:f>
        <x:v>X</x:v>
      </x:c>
      <x:c r="D17" s="34" t="str">
        <x:f>IF('班次明細'!L42&gt;0,TEXT('班次明細'!G42,"hh:mm")&amp;"–"&amp;TEXT('班次明細'!H42,"hh:mm"),'班次明細'!E42)</x:f>
        <x:v>18:00–22:00</x:v>
      </x:c>
      <x:c r="E17" s="26" t="str">
        <x:f>IF('班次明細'!L43&gt;0,TEXT('班次明細'!G43,"hh:mm")&amp;"–"&amp;TEXT('班次明細'!H43,"hh:mm"),'班次明細'!E43)</x:f>
        <x:v>18:00–22:00</x:v>
      </x:c>
      <x:c r="F17" s="26" t="str">
        <x:f>IF('班次明細'!L44&gt;0,TEXT('班次明細'!G44,"hh:mm")&amp;"–"&amp;TEXT('班次明細'!H44,"hh:mm"),'班次明細'!E44)</x:f>
        <x:v>X</x:v>
      </x:c>
      <x:c r="G17" s="34" t="str">
        <x:f>IF('班次明細'!L45&gt;0,TEXT('班次明細'!G45,"hh:mm")&amp;"–"&amp;TEXT('班次明細'!H45,"hh:mm"),'班次明細'!E45)</x:f>
        <x:v>18:00–22:00</x:v>
      </x:c>
      <x:c r="H17" s="26" t="str">
        <x:f>IF('班次明細'!L46&gt;0,TEXT('班次明細'!G46,"hh:mm")&amp;"–"&amp;TEXT('班次明細'!H46,"hh:mm"),'班次明細'!E46)</x:f>
        <x:v>11:30–21:30</x:v>
      </x:c>
      <x:c r="I17" s="114" t="str">
        <x:f>IF('班次明細'!L47&gt;0,TEXT('班次明細'!G47,"hh:mm")&amp;"–"&amp;TEXT('班次明細'!H47,"hh:mm"),'班次明細'!E47)</x:f>
        <x:v>X</x:v>
      </x:c>
      <x:c r="J17" s="41" t="n">
        <x:f>'工時與休假'!C11</x:f>
        <x:v>20</x:v>
      </x:c>
      <x:c r="K17" s="27" t="n">
        <x:f>'工時與休假'!D11</x:f>
        <x:v>4</x:v>
      </x:c>
    </x:row>
    <x:row r="18" ht="25" customHeight="1">
      <x:c r="A18" s="28"/>
      <x:c r="B18" s="29"/>
      <x:c r="C18" s="32" t="str">
        <x:f>'班次明細'!O41</x:f>
        <x:v>—</x:v>
      </x:c>
      <x:c r="D18" s="36" t="str">
        <x:f>'班次明細'!O42</x:f>
        <x:v>料區</x:v>
      </x:c>
      <x:c r="E18" s="32" t="str">
        <x:f>'班次明細'!O43</x:f>
        <x:v>料區</x:v>
      </x:c>
      <x:c r="F18" s="32" t="str">
        <x:f>'班次明細'!O44</x:f>
        <x:v>—</x:v>
      </x:c>
      <x:c r="G18" s="36" t="str">
        <x:f>'班次明細'!O45</x:f>
        <x:v>司爐</x:v>
      </x:c>
      <x:c r="H18" s="32" t="str">
        <x:f>'班次明細'!O46</x:f>
        <x:v>料區；拍區</x:v>
      </x:c>
      <x:c r="I18" s="115" t="str">
        <x:f>'班次明細'!O47</x:f>
        <x:v>—</x:v>
      </x:c>
      <x:c r="J18" s="42"/>
      <x:c r="K18" s="31"/>
    </x:row>
    <x:row r="19" ht="31" customHeight="1">
      <x:c r="A19" s="24" t="str">
        <x:v>工讀</x:v>
      </x:c>
      <x:c r="B19" s="25" t="str">
        <x:v>P07</x:v>
      </x:c>
      <x:c r="C19" s="26" t="str">
        <x:f>IF('班次明細'!L48&gt;0,TEXT('班次明細'!G48,"hh:mm")&amp;"–"&amp;TEXT('班次明細'!H48,"hh:mm"),'班次明細'!E48)</x:f>
        <x:v>11:30–21:30</x:v>
      </x:c>
      <x:c r="D19" s="26" t="str">
        <x:f>IF('班次明細'!L49&gt;0,TEXT('班次明細'!G49,"hh:mm")&amp;"–"&amp;TEXT('班次明細'!H49,"hh:mm"),'班次明細'!E49)</x:f>
        <x:v>18:00–22:00</x:v>
      </x:c>
      <x:c r="E19" s="26" t="str">
        <x:f>IF('班次明細'!L50&gt;0,TEXT('班次明細'!G50,"hh:mm")&amp;"–"&amp;TEXT('班次明細'!H50,"hh:mm"),'班次明細'!E50)</x:f>
        <x:v>休</x:v>
      </x:c>
      <x:c r="F19" s="26" t="str">
        <x:f>IF('班次明細'!L51&gt;0,TEXT('班次明細'!G51,"hh:mm")&amp;"–"&amp;TEXT('班次明細'!H51,"hh:mm"),'班次明細'!E51)</x:f>
        <x:v>休</x:v>
      </x:c>
      <x:c r="G19" s="26" t="str">
        <x:f>IF('班次明細'!L52&gt;0,TEXT('班次明細'!G52,"hh:mm")&amp;"–"&amp;TEXT('班次明細'!H52,"hh:mm"),'班次明細'!E52)</x:f>
        <x:v>17:00–21:30</x:v>
      </x:c>
      <x:c r="H19" s="26" t="str">
        <x:f>IF('班次明細'!L53&gt;0,TEXT('班次明細'!G53,"hh:mm")&amp;"–"&amp;TEXT('班次明細'!H53,"hh:mm"),'班次明細'!E53)</x:f>
        <x:v>17:00–21:30</x:v>
      </x:c>
      <x:c r="I19" s="114" t="str">
        <x:f>IF('班次明細'!L54&gt;0,TEXT('班次明細'!G54,"hh:mm")&amp;"–"&amp;TEXT('班次明細'!H54,"hh:mm"),'班次明細'!E54)</x:f>
        <x:v>11:30–21:30</x:v>
      </x:c>
      <x:c r="J19" s="41" t="n">
        <x:f>'工時與休假'!C12</x:f>
        <x:v>20</x:v>
      </x:c>
      <x:c r="K19" s="27" t="n">
        <x:f>'工時與休假'!D12</x:f>
        <x:v>4</x:v>
      </x:c>
    </x:row>
    <x:row r="20" ht="25" customHeight="1">
      <x:c r="A20" s="28"/>
      <x:c r="B20" s="29"/>
      <x:c r="C20" s="32" t="str">
        <x:f>'班次明細'!O48</x:f>
        <x:v>料區</x:v>
      </x:c>
      <x:c r="D20" s="32" t="str">
        <x:f>'班次明細'!O49</x:f>
        <x:v>外場</x:v>
      </x:c>
      <x:c r="E20" s="32" t="str">
        <x:f>'班次明細'!O50</x:f>
        <x:v>—</x:v>
      </x:c>
      <x:c r="F20" s="32" t="str">
        <x:f>'班次明細'!O51</x:f>
        <x:v>—</x:v>
      </x:c>
      <x:c r="G20" s="32" t="str">
        <x:f>'班次明細'!O52</x:f>
        <x:v>料區</x:v>
      </x:c>
      <x:c r="H20" s="32" t="str">
        <x:f>'班次明細'!O53</x:f>
        <x:v>料區</x:v>
      </x:c>
      <x:c r="I20" s="115" t="str">
        <x:f>'班次明細'!O54</x:f>
        <x:v>外場</x:v>
      </x:c>
      <x:c r="J20" s="42"/>
      <x:c r="K20" s="31"/>
    </x:row>
    <x:row r="21" ht="31" customHeight="1">
      <x:c r="A21" s="24" t="str">
        <x:v>工讀</x:v>
      </x:c>
      <x:c r="B21" s="25" t="str">
        <x:v>P08</x:v>
      </x:c>
      <x:c r="C21" s="34" t="str">
        <x:f>IF('班次明細'!L55&gt;0,TEXT('班次明細'!G55,"hh:mm")&amp;"–"&amp;TEXT('班次明細'!H55,"hh:mm"),'班次明細'!E55)</x:f>
        <x:v>17:00–21:30</x:v>
      </x:c>
      <x:c r="D21" s="26" t="str">
        <x:f>IF('班次明細'!L56&gt;0,TEXT('班次明細'!G56,"hh:mm")&amp;"–"&amp;TEXT('班次明細'!H56,"hh:mm"),'班次明細'!E56)</x:f>
        <x:v>休</x:v>
      </x:c>
      <x:c r="E21" s="26" t="str">
        <x:f>IF('班次明細'!L57&gt;0,TEXT('班次明細'!G57,"hh:mm")&amp;"–"&amp;TEXT('班次明細'!H57,"hh:mm"),'班次明細'!E57)</x:f>
        <x:v>X</x:v>
      </x:c>
      <x:c r="F21" s="26" t="str">
        <x:f>IF('班次明細'!L58&gt;0,TEXT('班次明細'!G58,"hh:mm")&amp;"–"&amp;TEXT('班次明細'!H58,"hh:mm"),'班次明細'!E58)</x:f>
        <x:v>11:30–21:30</x:v>
      </x:c>
      <x:c r="G21" s="34" t="str">
        <x:f>IF('班次明細'!L59&gt;0,TEXT('班次明細'!G59,"hh:mm")&amp;"–"&amp;TEXT('班次明細'!H59,"hh:mm"),'班次明細'!E59)</x:f>
        <x:v>12:00–18:00</x:v>
      </x:c>
      <x:c r="H21" s="26" t="str">
        <x:f>IF('班次明細'!L60&gt;0,TEXT('班次明細'!G60,"hh:mm")&amp;"–"&amp;TEXT('班次明細'!H60,"hh:mm"),'班次明細'!E60)</x:f>
        <x:v>休</x:v>
      </x:c>
      <x:c r="I21" s="114" t="str">
        <x:f>IF('班次明細'!L61&gt;0,TEXT('班次明細'!G61,"hh:mm")&amp;"–"&amp;TEXT('班次明細'!H61,"hh:mm"),'班次明細'!E61)</x:f>
        <x:v>X</x:v>
      </x:c>
      <x:c r="J21" s="41" t="n">
        <x:f>'工時與休假'!C13</x:f>
        <x:v>17.5</x:v>
      </x:c>
      <x:c r="K21" s="27" t="n">
        <x:f>'工時與休假'!D13</x:f>
        <x:v>3</x:v>
      </x:c>
    </x:row>
    <x:row r="22" ht="25" customHeight="1">
      <x:c r="A22" s="28"/>
      <x:c r="B22" s="29"/>
      <x:c r="C22" s="36" t="str">
        <x:f>'班次明細'!O55</x:f>
        <x:v>炸區</x:v>
      </x:c>
      <x:c r="D22" s="32" t="str">
        <x:f>'班次明細'!O56</x:f>
        <x:v>—</x:v>
      </x:c>
      <x:c r="E22" s="32" t="str">
        <x:f>'班次明細'!O57</x:f>
        <x:v>—</x:v>
      </x:c>
      <x:c r="F22" s="32" t="str">
        <x:f>'班次明細'!O58</x:f>
        <x:v>司爐</x:v>
      </x:c>
      <x:c r="G22" s="36" t="str">
        <x:f>'班次明細'!O59</x:f>
        <x:v>料區</x:v>
      </x:c>
      <x:c r="H22" s="32" t="str">
        <x:f>'班次明細'!O60</x:f>
        <x:v>—</x:v>
      </x:c>
      <x:c r="I22" s="115" t="str">
        <x:f>'班次明細'!O61</x:f>
        <x:v>—</x:v>
      </x:c>
      <x:c r="J22" s="42"/>
      <x:c r="K22" s="31"/>
    </x:row>
    <x:row r="23" ht="31" customHeight="1">
      <x:c r="A23" s="24" t="str">
        <x:v>工讀</x:v>
      </x:c>
      <x:c r="B23" s="25" t="str">
        <x:v>P09</x:v>
      </x:c>
      <x:c r="C23" s="26" t="str">
        <x:f>IF('班次明細'!L62&gt;0,TEXT('班次明細'!G62,"hh:mm")&amp;"–"&amp;TEXT('班次明細'!H62,"hh:mm"),'班次明細'!E62)</x:f>
        <x:v>17:00–21:30</x:v>
      </x:c>
      <x:c r="D23" s="26" t="str">
        <x:f>IF('班次明細'!L63&gt;0,TEXT('班次明細'!G63,"hh:mm")&amp;"–"&amp;TEXT('班次明細'!H63,"hh:mm"),'班次明細'!E63)</x:f>
        <x:v>11:30–21:30</x:v>
      </x:c>
      <x:c r="E23" s="26" t="str">
        <x:f>IF('班次明細'!L64&gt;0,TEXT('班次明細'!G64,"hh:mm")&amp;"–"&amp;TEXT('班次明細'!H64,"hh:mm"),'班次明細'!E64)</x:f>
        <x:v>休</x:v>
      </x:c>
      <x:c r="F23" s="26" t="str">
        <x:f>IF('班次明細'!L65&gt;0,TEXT('班次明細'!G65,"hh:mm")&amp;"–"&amp;TEXT('班次明細'!H65,"hh:mm"),'班次明細'!E65)</x:f>
        <x:v>17:00–21:30</x:v>
      </x:c>
      <x:c r="G23" s="26" t="str">
        <x:f>IF('班次明細'!L66&gt;0,TEXT('班次明細'!G66,"hh:mm")&amp;"–"&amp;TEXT('班次明細'!H66,"hh:mm"),'班次明細'!E66)</x:f>
        <x:v>休</x:v>
      </x:c>
      <x:c r="H23" s="34" t="str">
        <x:f>IF('班次明細'!L67&gt;0,TEXT('班次明細'!G67,"hh:mm")&amp;"–"&amp;TEXT('班次明細'!H67,"hh:mm"),'班次明細'!E67)</x:f>
        <x:v>11:00–21:00</x:v>
      </x:c>
      <x:c r="I23" s="114" t="str">
        <x:f>IF('班次明細'!L68&gt;0,TEXT('班次明細'!G68,"hh:mm")&amp;"–"&amp;TEXT('班次明細'!H68,"hh:mm"),'班次明細'!E68)</x:f>
        <x:v>11:00–21:00</x:v>
      </x:c>
      <x:c r="J23" s="41" t="n">
        <x:f>'工時與休假'!C14</x:f>
        <x:v>24</x:v>
      </x:c>
      <x:c r="K23" s="27" t="n">
        <x:f>'工時與休假'!D14</x:f>
        <x:v>4</x:v>
      </x:c>
    </x:row>
    <x:row r="24" ht="25" customHeight="1">
      <x:c r="A24" s="28"/>
      <x:c r="B24" s="29"/>
      <x:c r="C24" s="32" t="str">
        <x:f>'班次明細'!O62</x:f>
        <x:v>司爐</x:v>
      </x:c>
      <x:c r="D24" s="32" t="str">
        <x:f>'班次明細'!O63</x:f>
        <x:v>外場；司爐</x:v>
      </x:c>
      <x:c r="E24" s="32" t="str">
        <x:f>'班次明細'!O64</x:f>
        <x:v>—</x:v>
      </x:c>
      <x:c r="F24" s="32" t="str">
        <x:f>'班次明細'!O65</x:f>
        <x:v>炸區</x:v>
      </x:c>
      <x:c r="G24" s="32" t="str">
        <x:f>'班次明細'!O66</x:f>
        <x:v>—</x:v>
      </x:c>
      <x:c r="H24" s="36" t="str">
        <x:f>'班次明細'!O67</x:f>
        <x:v>拍區；司爐</x:v>
      </x:c>
      <x:c r="I24" s="115" t="str">
        <x:f>'班次明細'!O68</x:f>
        <x:v>司爐</x:v>
      </x:c>
      <x:c r="J24" s="42"/>
      <x:c r="K24" s="31"/>
    </x:row>
    <x:row r="25" ht="31" customHeight="1">
      <x:c r="A25" s="24" t="str">
        <x:v>工讀</x:v>
      </x:c>
      <x:c r="B25" s="25" t="str">
        <x:v>P10</x:v>
      </x:c>
      <x:c r="C25" s="26" t="str">
        <x:f>IF('班次明細'!L69&gt;0,TEXT('班次明細'!G69,"hh:mm")&amp;"–"&amp;TEXT('班次明細'!H69,"hh:mm"),'班次明細'!E69)</x:f>
        <x:v>10:00–15:30</x:v>
      </x:c>
      <x:c r="D25" s="26" t="str">
        <x:f>IF('班次明細'!L70&gt;0,TEXT('班次明細'!G70,"hh:mm")&amp;"–"&amp;TEXT('班次明細'!H70,"hh:mm"),'班次明細'!E70)</x:f>
        <x:v>休</x:v>
      </x:c>
      <x:c r="E25" s="26" t="str">
        <x:f>IF('班次明細'!L71&gt;0,TEXT('班次明細'!G71,"hh:mm")&amp;"–"&amp;TEXT('班次明細'!H71,"hh:mm"),'班次明細'!E71)</x:f>
        <x:v>11:00–21:00</x:v>
      </x:c>
      <x:c r="F25" s="26" t="str">
        <x:f>IF('班次明細'!L72&gt;0,TEXT('班次明細'!G72,"hh:mm")&amp;"–"&amp;TEXT('班次明細'!H72,"hh:mm"),'班次明細'!E72)</x:f>
        <x:v>休</x:v>
      </x:c>
      <x:c r="G25" s="26" t="str">
        <x:f>IF('班次明細'!L73&gt;0,TEXT('班次明細'!G73,"hh:mm")&amp;"–"&amp;TEXT('班次明細'!H73,"hh:mm"),'班次明細'!E73)</x:f>
        <x:v>休</x:v>
      </x:c>
      <x:c r="H25" s="26" t="str">
        <x:f>IF('班次明細'!L74&gt;0,TEXT('班次明細'!G74,"hh:mm")&amp;"–"&amp;TEXT('班次明細'!H74,"hh:mm"),'班次明細'!E74)</x:f>
        <x:v>10:00–15:30</x:v>
      </x:c>
      <x:c r="I25" s="114" t="str">
        <x:f>IF('班次明細'!L75&gt;0,TEXT('班次明細'!G75,"hh:mm")&amp;"–"&amp;TEXT('班次明細'!H75,"hh:mm"),'班次明細'!E75)</x:f>
        <x:v>12:00–22:00</x:v>
      </x:c>
      <x:c r="J25" s="41" t="n">
        <x:f>'工時與休假'!C15</x:f>
        <x:v>18</x:v>
      </x:c>
      <x:c r="K25" s="27" t="n">
        <x:f>'工時與休假'!D15</x:f>
        <x:v>3</x:v>
      </x:c>
    </x:row>
    <x:row r="26" ht="25" customHeight="1">
      <x:c r="A26" s="28"/>
      <x:c r="B26" s="29"/>
      <x:c r="C26" s="32" t="str">
        <x:f>'班次明細'!O69</x:f>
        <x:v>司爐</x:v>
      </x:c>
      <x:c r="D26" s="32" t="str">
        <x:f>'班次明細'!O70</x:f>
        <x:v>—</x:v>
      </x:c>
      <x:c r="E26" s="32" t="str">
        <x:f>'班次明細'!O71</x:f>
        <x:v>司爐</x:v>
      </x:c>
      <x:c r="F26" s="32" t="str">
        <x:f>'班次明細'!O72</x:f>
        <x:v>—</x:v>
      </x:c>
      <x:c r="G26" s="32" t="str">
        <x:f>'班次明細'!O73</x:f>
        <x:v>—</x:v>
      </x:c>
      <x:c r="H26" s="32" t="str">
        <x:f>'班次明細'!O74</x:f>
        <x:v>司爐</x:v>
      </x:c>
      <x:c r="I26" s="115" t="str">
        <x:f>'班次明細'!O75</x:f>
        <x:v>炸區；拍區</x:v>
      </x:c>
      <x:c r="J26" s="42"/>
      <x:c r="K26" s="31"/>
    </x:row>
    <x:row r="27" ht="31" customHeight="1">
      <x:c r="A27" s="24" t="str">
        <x:v>工讀</x:v>
      </x:c>
      <x:c r="B27" s="25" t="str">
        <x:v>P11</x:v>
      </x:c>
      <x:c r="C27" s="26" t="str">
        <x:f>IF('班次明細'!L76&gt;0,TEXT('班次明細'!G76,"hh:mm")&amp;"–"&amp;TEXT('班次明細'!H76,"hh:mm"),'班次明細'!E76)</x:f>
        <x:v>休</x:v>
      </x:c>
      <x:c r="D27" s="26" t="str">
        <x:f>IF('班次明細'!L77&gt;0,TEXT('班次明細'!G77,"hh:mm")&amp;"–"&amp;TEXT('班次明細'!H77,"hh:mm"),'班次明細'!E77)</x:f>
        <x:v>10:00–15:30</x:v>
      </x:c>
      <x:c r="E27" s="26" t="str">
        <x:f>IF('班次明細'!L78&gt;0,TEXT('班次明細'!G78,"hh:mm")&amp;"–"&amp;TEXT('班次明細'!H78,"hh:mm"),'班次明細'!E78)</x:f>
        <x:v>休</x:v>
      </x:c>
      <x:c r="F27" s="26" t="str">
        <x:f>IF('班次明細'!L79&gt;0,TEXT('班次明細'!G79,"hh:mm")&amp;"–"&amp;TEXT('班次明細'!H79,"hh:mm"),'班次明細'!E79)</x:f>
        <x:v>10:00–15:30</x:v>
      </x:c>
      <x:c r="G27" s="26" t="str">
        <x:f>IF('班次明細'!L80&gt;0,TEXT('班次明細'!G80,"hh:mm")&amp;"–"&amp;TEXT('班次明細'!H80,"hh:mm"),'班次明細'!E80)</x:f>
        <x:v>10:00–15:30</x:v>
      </x:c>
      <x:c r="H27" s="26" t="str">
        <x:f>IF('班次明細'!L81&gt;0,TEXT('班次明細'!G81,"hh:mm")&amp;"–"&amp;TEXT('班次明細'!H81,"hh:mm"),'班次明細'!E81)</x:f>
        <x:v>休</x:v>
      </x:c>
      <x:c r="I27" s="114" t="str">
        <x:f>IF('班次明細'!L82&gt;0,TEXT('班次明細'!G82,"hh:mm")&amp;"–"&amp;TEXT('班次明細'!H82,"hh:mm"),'班次明細'!E82)</x:f>
        <x:v>10:00–15:30</x:v>
      </x:c>
      <x:c r="J27" s="41" t="n">
        <x:f>'工時與休假'!C16</x:f>
        <x:v>15</x:v>
      </x:c>
      <x:c r="K27" s="27" t="n">
        <x:f>'工時與休假'!D16</x:f>
        <x:v>3</x:v>
      </x:c>
    </x:row>
    <x:row r="28" ht="25" customHeight="1">
      <x:c r="A28" s="28"/>
      <x:c r="B28" s="29"/>
      <x:c r="C28" s="32" t="str">
        <x:f>'班次明細'!O76</x:f>
        <x:v>—</x:v>
      </x:c>
      <x:c r="D28" s="32" t="str">
        <x:f>'班次明細'!O77</x:f>
        <x:v>司爐</x:v>
      </x:c>
      <x:c r="E28" s="32" t="str">
        <x:f>'班次明細'!O78</x:f>
        <x:v>—</x:v>
      </x:c>
      <x:c r="F28" s="32" t="str">
        <x:f>'班次明細'!O79</x:f>
        <x:v>料區</x:v>
      </x:c>
      <x:c r="G28" s="32" t="str">
        <x:f>'班次明細'!O80</x:f>
        <x:v>司爐</x:v>
      </x:c>
      <x:c r="H28" s="32" t="str">
        <x:f>'班次明細'!O81</x:f>
        <x:v>—</x:v>
      </x:c>
      <x:c r="I28" s="115" t="str">
        <x:f>'班次明細'!O82</x:f>
        <x:v>拍區</x:v>
      </x:c>
      <x:c r="J28" s="42"/>
      <x:c r="K28" s="31"/>
    </x:row>
    <x:row r="29" ht="31" customHeight="1">
      <x:c r="A29" s="24" t="str">
        <x:v>新人</x:v>
      </x:c>
      <x:c r="B29" s="25" t="str">
        <x:v>P12</x:v>
      </x:c>
      <x:c r="C29" s="116" t="str">
        <x:f>IF('班次明細'!L83&gt;0,TEXT('班次明細'!G83,"hh:mm")&amp;"–"&amp;TEXT('班次明細'!H83,"hh:mm"),'班次明細'!E83)</x:f>
        <x:v>X</x:v>
      </x:c>
      <x:c r="D29" s="116" t="str">
        <x:f>IF('班次明細'!L84&gt;0,TEXT('班次明細'!G84,"hh:mm")&amp;"–"&amp;TEXT('班次明細'!H84,"hh:mm"),'班次明細'!E84)</x:f>
        <x:v>休</x:v>
      </x:c>
      <x:c r="E29" s="116" t="str">
        <x:f>IF('班次明細'!L85&gt;0,TEXT('班次明細'!G85,"hh:mm")&amp;"–"&amp;TEXT('班次明細'!H85,"hh:mm"),'班次明細'!E85)</x:f>
        <x:v>休</x:v>
      </x:c>
      <x:c r="F29" s="116" t="str">
        <x:f>IF('班次明細'!L86&gt;0,TEXT('班次明細'!G86,"hh:mm")&amp;"–"&amp;TEXT('班次明細'!H86,"hh:mm"),'班次明細'!E86)</x:f>
        <x:v>11:00–21:00</x:v>
      </x:c>
      <x:c r="G29" s="116" t="str">
        <x:f>IF('班次明細'!L87&gt;0,TEXT('班次明細'!G87,"hh:mm")&amp;"–"&amp;TEXT('班次明細'!H87,"hh:mm"),'班次明細'!E87)</x:f>
        <x:v>17:00–21:00</x:v>
      </x:c>
      <x:c r="H29" s="116" t="str">
        <x:f>IF('班次明細'!L88&gt;0,TEXT('班次明細'!G88,"hh:mm")&amp;"–"&amp;TEXT('班次明細'!H88,"hh:mm"),'班次明細'!E88)</x:f>
        <x:v>11:00–21:00</x:v>
      </x:c>
      <x:c r="I29" s="116" t="str">
        <x:f>IF('班次明細'!L89&gt;0,TEXT('班次明細'!G89,"hh:mm")&amp;"–"&amp;TEXT('班次明細'!H89,"hh:mm"),'班次明細'!E89)</x:f>
        <x:v>12:00–18:00</x:v>
      </x:c>
      <x:c r="J29" s="41" t="n">
        <x:f>'工時與休假'!C17</x:f>
        <x:v>20</x:v>
      </x:c>
      <x:c r="K29" s="27" t="n">
        <x:f>'工時與休假'!D17</x:f>
        <x:v>3</x:v>
      </x:c>
    </x:row>
    <x:row r="30" ht="25" customHeight="1">
      <x:c r="A30" s="28"/>
      <x:c r="B30" s="29"/>
      <x:c r="C30" s="117" t="str">
        <x:f>'班次明細'!O83</x:f>
        <x:v>—</x:v>
      </x:c>
      <x:c r="D30" s="117" t="str">
        <x:f>'班次明細'!O84</x:f>
        <x:v>—</x:v>
      </x:c>
      <x:c r="E30" s="117" t="str">
        <x:f>'班次明細'!O85</x:f>
        <x:v>—</x:v>
      </x:c>
      <x:c r="F30" s="117" t="str">
        <x:f>'班次明細'!O86</x:f>
        <x:v>外場</x:v>
      </x:c>
      <x:c r="G30" s="117" t="str">
        <x:f>'班次明細'!O87</x:f>
        <x:v>外場</x:v>
      </x:c>
      <x:c r="H30" s="117" t="str">
        <x:f>'班次明細'!O88</x:f>
        <x:v>外場</x:v>
      </x:c>
      <x:c r="I30" s="117" t="str">
        <x:f>'班次明細'!O89</x:f>
        <x:v>外場</x:v>
      </x:c>
      <x:c r="J30" s="42"/>
      <x:c r="K30" s="31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</x:row>
    <x:row r="32" ht="31" customHeight="1">
      <x:c r="A32" s="43" t="str">
        <x:v>主崗配置
（午／晚）</x:v>
      </x:c>
      <x:c r="B32" s="43"/>
      <x:c r="C32" s="43" t="str">
        <x:f>IF(MAX('人力缺口'!H10,'人力缺口'!H11,'人力缺口'!H12,'人力缺口'!J10,'人力缺口'!J11,'人力缺口'!J12)&gt;0,"午-"&amp;MAX('人力缺口'!H10,'人力缺口'!H11,'人力缺口'!H12,'人力缺口'!J10,'人力缺口'!J11,'人力缺口'!J12)&amp;"人",IF(MAX('人力缺口'!I10,'人力缺口'!I11,'人力缺口'!I12)&gt;0,"午+"&amp;MAX('人力缺口'!I10,'人力缺口'!I11,'人力缺口'!I12)&amp;"人","午-0"))</x:f>
        <x:v>午-0</x:v>
      </x:c>
      <x:c r="D32" s="43" t="str">
        <x:f>IF(MAX('人力缺口'!H34,'人力缺口'!H35,'人力缺口'!H36,'人力缺口'!J34,'人力缺口'!J35,'人力缺口'!J36)&gt;0,"午-"&amp;MAX('人力缺口'!H34,'人力缺口'!H35,'人力缺口'!H36,'人力缺口'!J34,'人力缺口'!J35,'人力缺口'!J36)&amp;"人",IF(MAX('人力缺口'!I34,'人力缺口'!I35,'人力缺口'!I36)&gt;0,"午+"&amp;MAX('人力缺口'!I34,'人力缺口'!I35,'人力缺口'!I36)&amp;"人","午-0"))</x:f>
        <x:v>午-0</x:v>
      </x:c>
      <x:c r="E32" s="43" t="str">
        <x:f>IF(MAX('人力缺口'!H58,'人力缺口'!H59,'人力缺口'!H60,'人力缺口'!J58,'人力缺口'!J59,'人力缺口'!J60)&gt;0,"午-"&amp;MAX('人力缺口'!H58,'人力缺口'!H59,'人力缺口'!H60,'人力缺口'!J58,'人力缺口'!J59,'人力缺口'!J60)&amp;"人",IF(MAX('人力缺口'!I58,'人力缺口'!I59,'人力缺口'!I60)&gt;0,"午+"&amp;MAX('人力缺口'!I58,'人力缺口'!I59,'人力缺口'!I60)&amp;"人","午-0"))</x:f>
        <x:v>午+1人</x:v>
      </x:c>
      <x:c r="F32" s="43" t="str">
        <x:f>IF(MAX('人力缺口'!H82,'人力缺口'!H83,'人力缺口'!H84,'人力缺口'!J82,'人力缺口'!J83,'人力缺口'!J84)&gt;0,"午-"&amp;MAX('人力缺口'!H82,'人力缺口'!H83,'人力缺口'!H84,'人力缺口'!J82,'人力缺口'!J83,'人力缺口'!J84)&amp;"人",IF(MAX('人力缺口'!I82,'人力缺口'!I83,'人力缺口'!I84)&gt;0,"午+"&amp;MAX('人力缺口'!I82,'人力缺口'!I83,'人力缺口'!I84)&amp;"人","午-0"))</x:f>
        <x:v>午-0</x:v>
      </x:c>
      <x:c r="G32" s="43" t="str">
        <x:f>IF(MAX('人力缺口'!H106,'人力缺口'!H107,'人力缺口'!H108,'人力缺口'!J106,'人力缺口'!J107,'人力缺口'!J108)&gt;0,"午-"&amp;MAX('人力缺口'!H106,'人力缺口'!H107,'人力缺口'!H108,'人力缺口'!J106,'人力缺口'!J107,'人力缺口'!J108)&amp;"人",IF(MAX('人力缺口'!I106,'人力缺口'!I107,'人力缺口'!I108)&gt;0,"午+"&amp;MAX('人力缺口'!I106,'人力缺口'!I107,'人力缺口'!I108)&amp;"人","午-0"))</x:f>
        <x:v>午-0</x:v>
      </x:c>
      <x:c r="H32" s="43" t="str">
        <x:f>IF(MAX('人力缺口'!H129,'人力缺口'!H130,'人力缺口'!H131,'人力缺口'!H132,'人力缺口'!H133,'人力缺口'!H134,'人力缺口'!J129,'人力缺口'!J130,'人力缺口'!J131,'人力缺口'!J132,'人力缺口'!J133,'人力缺口'!J134)&gt;0,"午-"&amp;MAX('人力缺口'!H129,'人力缺口'!H130,'人力缺口'!H131,'人力缺口'!H132,'人力缺口'!H133,'人力缺口'!H134,'人力缺口'!J129,'人力缺口'!J130,'人力缺口'!J131,'人力缺口'!J132,'人力缺口'!J133,'人力缺口'!J134)&amp;"炸區",IF(MAX('人力缺口'!I129,'人力缺口'!I130,'人力缺口'!I131,'人力缺口'!I132,'人力缺口'!I133,'人力缺口'!I134)&gt;0,"午+"&amp;MAX('人力缺口'!I129,'人力缺口'!I130,'人力缺口'!I131,'人力缺口'!I132,'人力缺口'!I133,'人力缺口'!I134)&amp;"人","午-0"))</x:f>
        <x:v>午-1炸區</x:v>
      </x:c>
      <x:c r="I32" s="43" t="str">
        <x:f>IF(MAX('人力缺口'!H153,'人力缺口'!H154,'人力缺口'!H155,'人力缺口'!H156,'人力缺口'!H157,'人力缺口'!H158,'人力缺口'!J153,'人力缺口'!J154,'人力缺口'!J155,'人力缺口'!J156,'人力缺口'!J157,'人力缺口'!J158)&gt;0,"午-"&amp;MAX('人力缺口'!H153,'人力缺口'!H154,'人力缺口'!H155,'人力缺口'!H156,'人力缺口'!H157,'人力缺口'!H158,'人力缺口'!J153,'人力缺口'!J154,'人力缺口'!J155,'人力缺口'!J156,'人力缺口'!J157,'人力缺口'!J158)&amp;"崗（料／炸）",IF(MAX('人力缺口'!I153,'人力缺口'!I154,'人力缺口'!I155,'人力缺口'!I156,'人力缺口'!I157,'人力缺口'!I158)&gt;0,"午+"&amp;MAX('人力缺口'!I153,'人力缺口'!I154,'人力缺口'!I155,'人力缺口'!I156,'人力缺口'!I157,'人力缺口'!I158)&amp;"人","午-0"))</x:f>
        <x:v>午-2崗（料／炸）</x:v>
      </x:c>
      <x:c r="J32" s="2"/>
      <x:c r="K32" s="2"/>
    </x:row>
    <x:row r="33" ht="31" customHeight="1">
      <x:c r="A33" s="43"/>
      <x:c r="B33" s="43"/>
      <x:c r="C33" s="43"/>
      <x:c r="D33" s="43"/>
      <x:c r="E33" s="43"/>
      <x:c r="F33" s="43"/>
      <x:c r="G33" s="43"/>
      <x:c r="H33" s="43"/>
      <x:c r="I33" s="43"/>
      <x:c r="J33" s="2"/>
      <x:c r="K33" s="2"/>
    </x:row>
    <x:row r="34" ht="31" customHeight="1">
      <x:c r="A34" s="43"/>
      <x:c r="B34" s="43"/>
      <x:c r="C34" s="43" t="str">
        <x:f>IF(MAX('人力缺口'!H21,'人力缺口'!H22,'人力缺口'!H23,'人力缺口'!H24,'人力缺口'!J21,'人力缺口'!J22,'人力缺口'!J23,'人力缺口'!J24)&gt;0,"晚-"&amp;MAX('人力缺口'!H21,'人力缺口'!H22,'人力缺口'!H23,'人力缺口'!H24,'人力缺口'!J21,'人力缺口'!J22,'人力缺口'!J23,'人力缺口'!J24)&amp;"人",IF(MAX('人力缺口'!I21,'人力缺口'!I22,'人力缺口'!I23,'人力缺口'!I24)&gt;0,"晚+"&amp;MAX('人力缺口'!I21,'人力缺口'!I22,'人力缺口'!I23,'人力缺口'!I24)&amp;"人","晚-0"))</x:f>
        <x:v>晚-0</x:v>
      </x:c>
      <x:c r="D34" s="43" t="str">
        <x:f>IF(MAX('人力缺口'!H45,'人力缺口'!H46,'人力缺口'!H47,'人力缺口'!H48,'人力缺口'!J45,'人力缺口'!J46,'人力缺口'!J47,'人力缺口'!J48)&gt;0,"晚-"&amp;MAX('人力缺口'!H45,'人力缺口'!H46,'人力缺口'!H47,'人力缺口'!H48,'人力缺口'!J45,'人力缺口'!J46,'人力缺口'!J47,'人力缺口'!J48)&amp;"崗（外／料）",IF(MAX('人力缺口'!I45,'人力缺口'!I46,'人力缺口'!I47,'人力缺口'!I48)&gt;0,"晚+"&amp;MAX('人力缺口'!I45,'人力缺口'!I46,'人力缺口'!I47,'人力缺口'!I48)&amp;"外場","晚-0"))</x:f>
        <x:v>晚-2崗（外／料）</x:v>
      </x:c>
      <x:c r="E34" s="43" t="str">
        <x:f>IF(MAX('人力缺口'!H69,'人力缺口'!H70,'人力缺口'!H71,'人力缺口'!H72,'人力缺口'!J69,'人力缺口'!J70,'人力缺口'!J71,'人力缺口'!J72)&gt;0,"晚-"&amp;MAX('人力缺口'!H69,'人力缺口'!H70,'人力缺口'!H71,'人力缺口'!H72,'人力缺口'!J69,'人力缺口'!J70,'人力缺口'!J71,'人力缺口'!J72)&amp;"料區",IF(MAX('人力缺口'!I69,'人力缺口'!I70,'人力缺口'!I71,'人力缺口'!I72)&gt;0,"晚+"&amp;MAX('人力缺口'!I69,'人力缺口'!I70,'人力缺口'!I71,'人力缺口'!I72)&amp;"料區","晚-0"))</x:f>
        <x:v>晚-1料區</x:v>
      </x:c>
      <x:c r="F34" s="43" t="str">
        <x:f>IF(MAX('人力缺口'!H93,'人力缺口'!H94,'人力缺口'!H95,'人力缺口'!H96,'人力缺口'!J93,'人力缺口'!J94,'人力缺口'!J95,'人力缺口'!J96)&gt;0,"晚-"&amp;MAX('人力缺口'!H93,'人力缺口'!H94,'人力缺口'!H95,'人力缺口'!H96,'人力缺口'!J93,'人力缺口'!J94,'人力缺口'!J95,'人力缺口'!J96)&amp;"人",IF(MAX('人力缺口'!I93,'人力缺口'!I94,'人力缺口'!I95,'人力缺口'!I96)&gt;0,"晚+"&amp;MAX('人力缺口'!I93,'人力缺口'!I94,'人力缺口'!I95,'人力缺口'!I96)&amp;"人","晚-0"))</x:f>
        <x:v>晚-0</x:v>
      </x:c>
      <x:c r="G34" s="43" t="str">
        <x:f>IF(MAX('人力缺口'!H117,'人力缺口'!H118,'人力缺口'!H119,'人力缺口'!H120,'人力缺口'!J117,'人力缺口'!J118,'人力缺口'!J119,'人力缺口'!J120)&gt;0,"晚-"&amp;MAX('人力缺口'!H117,'人力缺口'!H118,'人力缺口'!H119,'人力缺口'!H120,'人力缺口'!J117,'人力缺口'!J118,'人力缺口'!J119,'人力缺口'!J120)&amp;"人",IF(MAX('人力缺口'!I117,'人力缺口'!I118,'人力缺口'!I119,'人力缺口'!I120)&gt;0,"晚+"&amp;MAX('人力缺口'!I117,'人力缺口'!I118,'人力缺口'!I119,'人力缺口'!I120)&amp;"人","晚-0"))</x:f>
        <x:v>晚-1人</x:v>
      </x:c>
      <x:c r="H34" s="43" t="str">
        <x:f>IF(MAX('人力缺口'!H140,'人力缺口'!H141,'人力缺口'!H142,'人力缺口'!H143,'人力缺口'!H144,'人力缺口'!H145,'人力缺口'!J140,'人力缺口'!J141,'人力缺口'!J142,'人力缺口'!J143,'人力缺口'!J144,'人力缺口'!J145)&gt;0,"晚-"&amp;MAX('人力缺口'!H140,'人力缺口'!H141,'人力缺口'!H142,'人力缺口'!H143,'人力缺口'!H144,'人力缺口'!H145,'人力缺口'!J140,'人力缺口'!J141,'人力缺口'!J142,'人力缺口'!J143,'人力缺口'!J144,'人力缺口'!J145)&amp;"人",IF(MAX('人力缺口'!I140,'人力缺口'!I141,'人力缺口'!I142,'人力缺口'!I143,'人力缺口'!I144,'人力缺口'!I145)&gt;0,"晚+"&amp;MAX('人力缺口'!I140,'人力缺口'!I141,'人力缺口'!I142,'人力缺口'!I143,'人力缺口'!I144,'人力缺口'!I145)&amp;"人","晚-0"))</x:f>
        <x:v>晚-0</x:v>
      </x:c>
      <x:c r="I34" s="43" t="str">
        <x:f>IF(MAX('人力缺口'!H164,'人力缺口'!H165,'人力缺口'!H166,'人力缺口'!H167,'人力缺口'!H168,'人力缺口'!H169,'人力缺口'!J164,'人力缺口'!J165,'人力缺口'!J166,'人力缺口'!J167,'人力缺口'!J168,'人力缺口'!J169)&gt;0,"晚-"&amp;MAX('人力缺口'!H164,'人力缺口'!H165,'人力缺口'!H166,'人力缺口'!H167,'人力缺口'!H168,'人力缺口'!H169,'人力缺口'!J164,'人力缺口'!J165,'人力缺口'!J166,'人力缺口'!J167,'人力缺口'!J168,'人力缺口'!J169)&amp;"崗（料／控）",IF(MAX('人力缺口'!I164,'人力缺口'!I165,'人力缺口'!I166,'人力缺口'!I167,'人力缺口'!I168,'人力缺口'!I169)&gt;0,"晚+"&amp;MAX('人力缺口'!I164,'人力缺口'!I165,'人力缺口'!I166,'人力缺口'!I167,'人力缺口'!I168,'人力缺口'!I169)&amp;"人","晚-0"))</x:f>
        <x:v>晚-2崗（料／控）</x:v>
      </x:c>
      <x:c r="J34" s="2"/>
      <x:c r="K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</x:row>
    <x:row r="36" ht="26" customHeight="1">
      <x:c r="A36" s="45" t="str">
        <x:v>午晚僅核對已到班主要崗位；不假設現場休息時點。淨工時照規定扣休；實際休息覆蓋仍須現場落實。</x:v>
      </x:c>
      <x:c r="B36" s="45"/>
      <x:c r="C36" s="45"/>
      <x:c r="D36" s="45"/>
      <x:c r="E36" s="45"/>
      <x:c r="F36" s="45"/>
      <x:c r="G36" s="45"/>
      <x:c r="H36" s="45"/>
      <x:c r="I36" s="45"/>
      <x:c r="J36" s="45"/>
      <x:c r="K36" s="45"/>
    </x:row>
    <x:row r="37" ht="26" customHeight="1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  <x:c r="K37" s="45"/>
    </x:row>
    <x:row r="38" ht="26" customHeight="1">
      <x:c r="A38" s="45" t="str">
        <x:v>20晚17:30–18缺外／料；21午多1人、晚17:30–18缺料；23晚少1人；24午缺炸；25午料／炸、晚料／控缺崗。</x:v>
      </x:c>
      <x:c r="B38" s="45"/>
      <x:c r="C38" s="45"/>
      <x:c r="D38" s="45"/>
      <x:c r="E38" s="45"/>
      <x:c r="F38" s="45"/>
      <x:c r="G38" s="45"/>
      <x:c r="H38" s="45"/>
      <x:c r="I38" s="45"/>
      <x:c r="J38" s="45"/>
      <x:c r="K38" s="45"/>
    </x:row>
    <x:row r="39" ht="26" customHeight="1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  <x:c r="K39" s="45"/>
    </x:row>
    <x:row r="40" ht="26" customHeight="1">
      <x:c r="A40" s="45" t="str">
        <x:v>P1222、24由P01帶訓，23新增17–21由P01同外場帶訓；25仍缺完整帶訓。月表保留，未匯入本週。</x:v>
      </x:c>
      <x:c r="B40" s="45"/>
      <x:c r="C40" s="45"/>
      <x:c r="D40" s="45"/>
      <x:c r="E40" s="45"/>
      <x:c r="F40" s="45"/>
      <x:c r="G40" s="45"/>
      <x:c r="H40" s="45"/>
      <x:c r="I40" s="45"/>
      <x:c r="J40" s="45"/>
      <x:c r="K40" s="45"/>
    </x:row>
    <x:row r="41" ht="26" customHeight="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  <x:c r="K41" s="45"/>
    </x:row>
    <x:row r="42" ht="25" customHeight="1">
      <x:c r="A42"/>
      <x:c r="B42"/>
      <x:c r="C42"/>
      <x:c r="D42"/>
      <x:c r="E42"/>
      <x:c r="F42"/>
      <x:c r="G42"/>
      <x:c r="H42"/>
      <x:c r="I42"/>
      <x:c r="J42"/>
      <x:c r="K42"/>
    </x:row>
    <x:row r="43">
      <x:c r="A43"/>
      <x:c r="B43"/>
      <x:c r="C43"/>
      <x:c r="D43"/>
      <x:c r="E43"/>
      <x:c r="F43"/>
      <x:c r="G43"/>
      <x:c r="H43"/>
      <x:c r="I43"/>
      <x:c r="J43"/>
      <x:c r="K43"/>
    </x:row>
    <x:row r="44">
      <x:c r="A44"/>
      <x:c r="B44"/>
      <x:c r="C44"/>
      <x:c r="D44"/>
      <x:c r="E44"/>
      <x:c r="F44"/>
      <x:c r="G44"/>
      <x:c r="H44"/>
      <x:c r="I44"/>
      <x:c r="J44"/>
      <x:c r="K44"/>
    </x:row>
  </x:sheetData>
  <x:mergeCells>
    <x:mergeCell ref="A1:K1"/>
    <x:mergeCell ref="A2:K3"/>
    <x:mergeCell ref="A7:A8"/>
    <x:mergeCell ref="B7:B8"/>
    <x:mergeCell ref="J7:J8"/>
    <x:mergeCell ref="K7:K8"/>
    <x:mergeCell ref="A9:A10"/>
    <x:mergeCell ref="B9:B10"/>
    <x:mergeCell ref="J9:J10"/>
    <x:mergeCell ref="K9:K10"/>
    <x:mergeCell ref="A11:A12"/>
    <x:mergeCell ref="B11:B12"/>
    <x:mergeCell ref="J11:J12"/>
    <x:mergeCell ref="K11:K12"/>
    <x:mergeCell ref="A13:A14"/>
    <x:mergeCell ref="B13:B14"/>
    <x:mergeCell ref="J13:J14"/>
    <x:mergeCell ref="K13:K14"/>
    <x:mergeCell ref="A15:A16"/>
    <x:mergeCell ref="B15:B16"/>
    <x:mergeCell ref="J15:J16"/>
    <x:mergeCell ref="K15:K16"/>
    <x:mergeCell ref="A17:A18"/>
    <x:mergeCell ref="B17:B18"/>
    <x:mergeCell ref="J17:J18"/>
    <x:mergeCell ref="K17:K18"/>
    <x:mergeCell ref="A19:A20"/>
    <x:mergeCell ref="B19:B20"/>
    <x:mergeCell ref="J19:J20"/>
    <x:mergeCell ref="K19:K20"/>
    <x:mergeCell ref="A21:A22"/>
    <x:mergeCell ref="B21:B22"/>
    <x:mergeCell ref="J21:J22"/>
    <x:mergeCell ref="K21:K22"/>
    <x:mergeCell ref="A23:A24"/>
    <x:mergeCell ref="B23:B24"/>
    <x:mergeCell ref="J23:J24"/>
    <x:mergeCell ref="K23:K24"/>
    <x:mergeCell ref="A25:A26"/>
    <x:mergeCell ref="B25:B26"/>
    <x:mergeCell ref="J25:J26"/>
    <x:mergeCell ref="K25:K26"/>
    <x:mergeCell ref="A27:A28"/>
    <x:mergeCell ref="B27:B28"/>
    <x:mergeCell ref="J27:J28"/>
    <x:mergeCell ref="K27:K28"/>
    <x:mergeCell ref="C32:C33"/>
    <x:mergeCell ref="I32:I33"/>
    <x:mergeCell ref="A29:A30"/>
    <x:mergeCell ref="A32:B34"/>
    <x:mergeCell ref="K29:K30"/>
    <x:mergeCell ref="F32:F33"/>
    <x:mergeCell ref="E32:E33"/>
    <x:mergeCell ref="G32:G33"/>
    <x:mergeCell ref="A40:K41"/>
    <x:mergeCell ref="A36:K37"/>
    <x:mergeCell ref="J29:J30"/>
    <x:mergeCell ref="D32:D33"/>
    <x:mergeCell ref="H32:H33"/>
    <x:mergeCell ref="A38:K39"/>
    <x:mergeCell ref="B29:B30"/>
  </x:mergeCells>
  <x:conditionalFormatting sqref="C32:I34">
    <x:cfRule type="expression" dxfId="18" priority="1">
      <x:formula>AND(OR(LEFT(C32,2)="午-",LEFT(C32,2)="晚-"),RIGHT(C32,1)&lt;&gt;"0")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7" hidden="0" customWidth="1"/>
    <x:col min="6" max="6" width="17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8" hidden="0" customWidth="1"/>
    <x:col min="16" max="16" width="52" hidden="0" customWidth="1"/>
  </x:cols>
  <x:sheetData>
    <x:row r="1" ht="38" customHeight="1">
      <x:c r="A1" s="4" t="str">
        <x:v>班次明細｜10/19–10/25及10/18待補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23" customHeight="1">
      <x:c r="A2" s="7" t="str">
        <x:v>K為休息時數、L為淨工時；I:J空白但K&gt;0表示休息時點由現場安排。90–101列保留10/18待補，空白不等於0。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3" ht="23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30" customHeight="1">
      <x:c r="A5" s="10" t="str">
        <x:v>日期</x:v>
      </x:c>
      <x:c r="B5" s="10" t="str">
        <x:v>星期</x:v>
      </x:c>
      <x:c r="C5" s="10" t="str">
        <x:v>姓名</x:v>
      </x:c>
      <x:c r="D5" s="10" t="str">
        <x:v>身分</x:v>
      </x:c>
      <x:c r="E5" s="10" t="str">
        <x:v>安排狀態</x:v>
      </x:c>
      <x:c r="F5" s="10" t="str">
        <x:v>班別</x:v>
      </x:c>
      <x:c r="G5" s="10" t="str">
        <x:v>上班</x:v>
      </x:c>
      <x:c r="H5" s="10" t="str">
        <x:v>下班</x:v>
      </x:c>
      <x:c r="I5" s="10" t="str">
        <x:v>休息開始</x:v>
      </x:c>
      <x:c r="J5" s="10" t="str">
        <x:v>休息結束</x:v>
      </x:c>
      <x:c r="K5" s="10" t="str">
        <x:v>休息時數</x:v>
      </x:c>
      <x:c r="L5" s="10" t="str">
        <x:v>淨工時</x:v>
      </x:c>
      <x:c r="M5" s="10" t="str">
        <x:v>最長連續</x:v>
      </x:c>
      <x:c r="N5" s="10" t="str">
        <x:v>整天班</x:v>
      </x:c>
      <x:c r="O5" s="10" t="str">
        <x:v>當日分工方向</x:v>
      </x:c>
      <x:c r="P5" s="10" t="str">
        <x:v>備註</x:v>
      </x:c>
    </x:row>
    <x:row r="6" ht="34" customHeight="1">
      <x:c r="A6" s="12" t="n">
        <x:v>46314</x:v>
      </x:c>
      <x:c r="B6" s="2" t="str">
        <x:v>一</x:v>
      </x:c>
      <x:c r="C6" s="2" t="str">
        <x:v>P01</x:v>
      </x:c>
      <x:c r="D6" s="2" t="str">
        <x:v>店長</x:v>
      </x:c>
      <x:c r="E6" s="2" t="str">
        <x:v>預排</x:v>
      </x:c>
      <x:c r="F6" s="2" t="str">
        <x:v>整天</x:v>
      </x:c>
      <x:c r="G6" s="15" t="n">
        <x:v>0.4583333333333333</x:v>
      </x:c>
      <x:c r="H6" s="15" t="n">
        <x:v>0.875</x:v>
      </x:c>
      <x:c r="I6" s="15" t="n">
        <x:v>0.625</x:v>
      </x:c>
      <x:c r="J6" s="15" t="n">
        <x:v>0.7083333333333334</x:v>
      </x:c>
      <x:c r="K6" s="14" t="n">
        <x:f>IF(COUNT(I6:J6)=2,ROUND((J6-I6)*24,2),2)</x:f>
        <x:v>2</x:v>
      </x:c>
      <x:c r="L6" s="14" t="n">
        <x:f>IF(COUNT(G6:H6)=2,ROUND((H6-G6)*24-K6,2),0)</x:f>
        <x:v>8</x:v>
      </x:c>
      <x:c r="M6" s="14" t="n">
        <x:f>IF(L6=0,0,IF(AND(K6&gt;0,COUNT(I6:J6)&lt;2),"待現場",IF(K6&gt;0,ROUND(MAX((I6-G6)*24,(H6-J6)*24),2),L6)))</x:f>
        <x:v>4</x:v>
      </x:c>
      <x:c r="N6" s="2" t="n">
        <x:v>1</x:v>
      </x:c>
      <x:c r="O6" s="2" t="str">
        <x:v>外場</x:v>
      </x:c>
      <x:c r="P6" s="11" t="str">
        <x:v>整天</x:v>
      </x:c>
    </x:row>
    <x:row r="7" ht="34" customHeight="1">
      <x:c r="A7" s="12" t="n">
        <x:v>46315</x:v>
      </x:c>
      <x:c r="B7" s="2" t="str">
        <x:v>二</x:v>
      </x:c>
      <x:c r="C7" s="2" t="str">
        <x:v>P01</x:v>
      </x:c>
      <x:c r="D7" s="2" t="str">
        <x:v>店長</x:v>
      </x:c>
      <x:c r="E7" s="2" t="str">
        <x:v>休</x:v>
      </x:c>
      <x:c r="F7" s="2" t="str">
        <x:v>—</x:v>
      </x:c>
      <x:c r="G7" s="15"/>
      <x:c r="H7" s="15"/>
      <x:c r="I7" s="15"/>
      <x:c r="J7" s="15"/>
      <x:c r="K7" s="14" t="n">
        <x:f>IF(COUNT(I7:J7)=2,ROUND((J7-I7)*24,2),0)</x:f>
        <x:v>0</x:v>
      </x:c>
      <x:c r="L7" s="14" t="n">
        <x:f>IF(COUNT(G7:H7)=2,ROUND((H7-G7)*24-K7,2),0)</x:f>
        <x:v>0</x:v>
      </x:c>
      <x:c r="M7" s="14" t="n">
        <x:f>IF(L7=0,0,IF(AND(K7&gt;0,COUNT(I7:J7)&lt;2),"待現場",IF(K7&gt;0,ROUND(MAX((I7-G7)*24,(H7-J7)*24),2),L7)))</x:f>
        <x:v>0</x:v>
      </x:c>
      <x:c r="N7" s="2" t="n">
        <x:v>0</x:v>
      </x:c>
      <x:c r="O7" s="2" t="str">
        <x:v>—</x:v>
      </x:c>
      <x:c r="P7" s="11" t="str">
        <x:v>整天</x:v>
      </x:c>
    </x:row>
    <x:row r="8" ht="34" customHeight="1">
      <x:c r="A8" s="12" t="n">
        <x:v>46316</x:v>
      </x:c>
      <x:c r="B8" s="2" t="str">
        <x:v>三</x:v>
      </x:c>
      <x:c r="C8" s="2" t="str">
        <x:v>P01</x:v>
      </x:c>
      <x:c r="D8" s="2" t="str">
        <x:v>店長</x:v>
      </x:c>
      <x:c r="E8" s="2" t="str">
        <x:v>預排</x:v>
      </x:c>
      <x:c r="F8" s="2" t="str">
        <x:v>整天</x:v>
      </x:c>
      <x:c r="G8" s="15" t="n">
        <x:v>0.4583333333333333</x:v>
      </x:c>
      <x:c r="H8" s="15" t="n">
        <x:v>0.875</x:v>
      </x:c>
      <x:c r="I8" s="15" t="n">
        <x:v>0.625</x:v>
      </x:c>
      <x:c r="J8" s="15" t="n">
        <x:v>0.7083333333333334</x:v>
      </x:c>
      <x:c r="K8" s="14" t="n">
        <x:f>IF(COUNT(I8:J8)=2,ROUND((J8-I8)*24,2),2)</x:f>
        <x:v>2</x:v>
      </x:c>
      <x:c r="L8" s="14" t="n">
        <x:f>IF(COUNT(G8:H8)=2,ROUND((H8-G8)*24-K8,2),0)</x:f>
        <x:v>8</x:v>
      </x:c>
      <x:c r="M8" s="14" t="n">
        <x:f>IF(L8=0,0,IF(AND(K8&gt;0,COUNT(I8:J8)&lt;2),"待現場",IF(K8&gt;0,ROUND(MAX((I8-G8)*24,(H8-J8)*24),2),L8)))</x:f>
        <x:v>4</x:v>
      </x:c>
      <x:c r="N8" s="2" t="n">
        <x:v>1</x:v>
      </x:c>
      <x:c r="O8" s="2" t="str">
        <x:v>炸區</x:v>
      </x:c>
      <x:c r="P8" s="11" t="str">
        <x:v>整天；依排班者批註主崗改炸區</x:v>
      </x:c>
    </x:row>
    <x:row r="9" ht="34" customHeight="1">
      <x:c r="A9" s="12" t="n">
        <x:v>46317</x:v>
      </x:c>
      <x:c r="B9" s="2" t="str">
        <x:v>四</x:v>
      </x:c>
      <x:c r="C9" s="2" t="str">
        <x:v>P01</x:v>
      </x:c>
      <x:c r="D9" s="2" t="str">
        <x:v>店長</x:v>
      </x:c>
      <x:c r="E9" s="2" t="str">
        <x:v>預排</x:v>
      </x:c>
      <x:c r="F9" s="2" t="str">
        <x:v>整天</x:v>
      </x:c>
      <x:c r="G9" s="15" t="n">
        <x:v>0.4583333333333333</x:v>
      </x:c>
      <x:c r="H9" s="15" t="n">
        <x:v>0.875</x:v>
      </x:c>
      <x:c r="I9" s="15" t="n">
        <x:v>0.625</x:v>
      </x:c>
      <x:c r="J9" s="15" t="n">
        <x:v>0.7083333333333334</x:v>
      </x:c>
      <x:c r="K9" s="14" t="n">
        <x:f>IF(COUNT(I9:J9)=2,ROUND((J9-I9)*24,2),2)</x:f>
        <x:v>2</x:v>
      </x:c>
      <x:c r="L9" s="14" t="n">
        <x:f>IF(COUNT(G9:H9)=2,ROUND((H9-G9)*24-K9,2),0)</x:f>
        <x:v>8</x:v>
      </x:c>
      <x:c r="M9" s="14" t="n">
        <x:f>IF(L9=0,0,IF(AND(K9&gt;0,COUNT(I9:J9)&lt;2),"待現場",IF(K9&gt;0,ROUND(MAX((I9-G9)*24,(H9-J9)*24),2),L9)))</x:f>
        <x:v>4</x:v>
      </x:c>
      <x:c r="N9" s="2" t="n">
        <x:v>1</x:v>
      </x:c>
      <x:c r="O9" s="2" t="str">
        <x:v>外場</x:v>
      </x:c>
      <x:c r="P9" s="11" t="str">
        <x:v>整天；P01與P12同班11–21、同崗外場，休15–17；新人不計人力</x:v>
      </x:c>
    </x:row>
    <x:row r="10" ht="34" customHeight="1">
      <x:c r="A10" s="12" t="n">
        <x:v>46318</x:v>
      </x:c>
      <x:c r="B10" s="2" t="str">
        <x:v>五</x:v>
      </x:c>
      <x:c r="C10" s="2" t="str">
        <x:v>P01</x:v>
      </x:c>
      <x:c r="D10" s="2" t="str">
        <x:v>店長</x:v>
      </x:c>
      <x:c r="E10" s="2" t="str">
        <x:v>預排</x:v>
      </x:c>
      <x:c r="F10" s="2" t="str">
        <x:v>整天</x:v>
      </x:c>
      <x:c r="G10" s="15" t="n">
        <x:v>0.4583333333333333</x:v>
      </x:c>
      <x:c r="H10" s="15" t="n">
        <x:v>0.875</x:v>
      </x:c>
      <x:c r="I10" s="15" t="n">
        <x:v>0.625</x:v>
      </x:c>
      <x:c r="J10" s="15" t="n">
        <x:v>0.7083333333333334</x:v>
      </x:c>
      <x:c r="K10" s="14" t="n">
        <x:f>IF(COUNT(I10:J10)=2,ROUND((J10-I10)*24,2),2)</x:f>
        <x:v>2</x:v>
      </x:c>
      <x:c r="L10" s="14" t="n">
        <x:f>IF(COUNT(G10:H10)=2,ROUND((H10-G10)*24-K10,2),0)</x:f>
        <x:v>8</x:v>
      </x:c>
      <x:c r="M10" s="14" t="n">
        <x:f>IF(L10=0,0,IF(AND(K10&gt;0,COUNT(I10:J10)&lt;2),"待現場",IF(K10&gt;0,ROUND(MAX((I10-G10)*24,(H10-J10)*24),2),L10)))</x:f>
        <x:v>4</x:v>
      </x:c>
      <x:c r="N10" s="2" t="n">
        <x:v>1</x:v>
      </x:c>
      <x:c r="O10" s="2" t="str">
        <x:v>外場</x:v>
      </x:c>
      <x:c r="P10" s="11" t="str">
        <x:v>整天；17–21與P12同外場帶訓。</x:v>
      </x:c>
    </x:row>
    <x:row r="11" ht="34" customHeight="1">
      <x:c r="A11" s="12" t="n">
        <x:v>46319</x:v>
      </x:c>
      <x:c r="B11" s="2" t="str">
        <x:v>六</x:v>
      </x:c>
      <x:c r="C11" s="2" t="str">
        <x:v>P01</x:v>
      </x:c>
      <x:c r="D11" s="2" t="str">
        <x:v>店長</x:v>
      </x:c>
      <x:c r="E11" s="2" t="str">
        <x:v>預排</x:v>
      </x:c>
      <x:c r="F11" s="2" t="str">
        <x:v>整天</x:v>
      </x:c>
      <x:c r="G11" s="15" t="n">
        <x:v>0.4583333333333333</x:v>
      </x:c>
      <x:c r="H11" s="15" t="n">
        <x:v>0.875</x:v>
      </x:c>
      <x:c r="I11" s="15" t="n">
        <x:v>0.625</x:v>
      </x:c>
      <x:c r="J11" s="15" t="n">
        <x:v>0.7083333333333334</x:v>
      </x:c>
      <x:c r="K11" s="14" t="n">
        <x:f>IF(COUNT(I11:J11)=2,ROUND((J11-I11)*24,2),2)</x:f>
        <x:v>2</x:v>
      </x:c>
      <x:c r="L11" s="14" t="n">
        <x:f>IF(COUNT(G11:H11)=2,ROUND((H11-G11)*24-K11,2),0)</x:f>
        <x:v>8</x:v>
      </x:c>
      <x:c r="M11" s="14" t="n">
        <x:f>IF(L11=0,0,IF(AND(K11&gt;0,COUNT(I11:J11)&lt;2),"待現場",IF(K11&gt;0,ROUND(MAX((I11-G11)*24,(H11-J11)*24),2),L11)))</x:f>
        <x:v>4</x:v>
      </x:c>
      <x:c r="N11" s="2" t="n">
        <x:v>1</x:v>
      </x:c>
      <x:c r="O11" s="2" t="str">
        <x:v>外場</x:v>
      </x:c>
      <x:c r="P11" s="11" t="str">
        <x:v>整天；P01與P12同班11–21、同崗外場，休15–17；新人不計人力</x:v>
      </x:c>
    </x:row>
    <x:row r="12" ht="34" customHeight="1">
      <x:c r="A12" s="12" t="n">
        <x:v>46320</x:v>
      </x:c>
      <x:c r="B12" s="2" t="str">
        <x:v>日</x:v>
      </x:c>
      <x:c r="C12" s="2" t="str">
        <x:v>P01</x:v>
      </x:c>
      <x:c r="D12" s="2" t="str">
        <x:v>店長</x:v>
      </x:c>
      <x:c r="E12" s="2" t="str">
        <x:v>X</x:v>
      </x:c>
      <x:c r="F12" s="2" t="str">
        <x:v>—</x:v>
      </x:c>
      <x:c r="G12" s="15"/>
      <x:c r="H12" s="15"/>
      <x:c r="I12" s="15"/>
      <x:c r="J12" s="15"/>
      <x:c r="K12" s="14" t="n">
        <x:f>IF(COUNT(I12:J12)=2,ROUND((J12-I12)*24,2),0)</x:f>
        <x:v>0</x:v>
      </x:c>
      <x:c r="L12" s="14" t="n">
        <x:f>IF(COUNT(G12:H12)=2,ROUND((H12-G12)*24-K12,2),0)</x:f>
        <x:v>0</x:v>
      </x:c>
      <x:c r="M12" s="14" t="n">
        <x:f>IF(L12=0,0,IF(AND(K12&gt;0,COUNT(I12:J12)&lt;2),"待現場",IF(K12&gt;0,ROUND(MAX((I12-G12)*24,(H12-J12)*24),2),L12)))</x:f>
        <x:v>0</x:v>
      </x:c>
      <x:c r="N12" s="2" t="n">
        <x:v>0</x:v>
      </x:c>
      <x:c r="O12" s="2" t="str">
        <x:v>—</x:v>
      </x:c>
      <x:c r="P12" s="11" t="str">
        <x:v>X／指定休</x:v>
      </x:c>
    </x:row>
    <x:row r="13" ht="34" customHeight="1">
      <x:c r="A13" s="12" t="n">
        <x:v>46314</x:v>
      </x:c>
      <x:c r="B13" s="2" t="str">
        <x:v>一</x:v>
      </x:c>
      <x:c r="C13" s="2" t="str">
        <x:v>P02</x:v>
      </x:c>
      <x:c r="D13" s="2" t="str">
        <x:v>正職</x:v>
      </x:c>
      <x:c r="E13" s="2" t="str">
        <x:v>預排</x:v>
      </x:c>
      <x:c r="F13" s="2" t="str">
        <x:v>整天</x:v>
      </x:c>
      <x:c r="G13" s="15" t="n">
        <x:v>0.4791666666666667</x:v>
      </x:c>
      <x:c r="H13" s="15" t="n">
        <x:v>0.8958333333333334</x:v>
      </x:c>
      <x:c r="I13" s="15" t="n">
        <x:v>0.6458333333333334</x:v>
      </x:c>
      <x:c r="J13" s="15" t="n">
        <x:v>0.7291666666666666</x:v>
      </x:c>
      <x:c r="K13" s="14" t="n">
        <x:f>IF(COUNT(I13:J13)=2,ROUND((J13-I13)*24,2),2)</x:f>
        <x:v>2</x:v>
      </x:c>
      <x:c r="L13" s="14" t="n">
        <x:f>IF(COUNT(G13:H13)=2,ROUND((H13-G13)*24-K13,2),0)</x:f>
        <x:v>8</x:v>
      </x:c>
      <x:c r="M13" s="14" t="n">
        <x:f>IF(L13=0,0,IF(AND(K13&gt;0,COUNT(I13:J13)&lt;2),"待現場",IF(K13&gt;0,ROUND(MAX((I13-G13)*24,(H13-J13)*24),2),L13)))</x:f>
        <x:v>4</x:v>
      </x:c>
      <x:c r="N13" s="2" t="n">
        <x:v>1</x:v>
      </x:c>
      <x:c r="O13" s="2" t="str">
        <x:v>吧台</x:v>
      </x:c>
      <x:c r="P13" s="11" t="str">
        <x:v>整天</x:v>
      </x:c>
    </x:row>
    <x:row r="14" ht="34" customHeight="1">
      <x:c r="A14" s="12" t="n">
        <x:v>46315</x:v>
      </x:c>
      <x:c r="B14" s="2" t="str">
        <x:v>二</x:v>
      </x:c>
      <x:c r="C14" s="2" t="str">
        <x:v>P02</x:v>
      </x:c>
      <x:c r="D14" s="2" t="str">
        <x:v>正職</x:v>
      </x:c>
      <x:c r="E14" s="2" t="str">
        <x:v>預排</x:v>
      </x:c>
      <x:c r="F14" s="2" t="str">
        <x:v>整天</x:v>
      </x:c>
      <x:c r="G14" s="15" t="n">
        <x:v>0.4583333333333333</x:v>
      </x:c>
      <x:c r="H14" s="15" t="n">
        <x:v>0.875</x:v>
      </x:c>
      <x:c r="I14" s="15" t="n">
        <x:v>0.625</x:v>
      </x:c>
      <x:c r="J14" s="15" t="n">
        <x:v>0.7083333333333334</x:v>
      </x:c>
      <x:c r="K14" s="14" t="n">
        <x:f>IF(COUNT(I14:J14)=2,ROUND((J14-I14)*24,2),2)</x:f>
        <x:v>2</x:v>
      </x:c>
      <x:c r="L14" s="14" t="n">
        <x:f>IF(COUNT(G14:H14)=2,ROUND((H14-G14)*24-K14,2),0)</x:f>
        <x:v>8</x:v>
      </x:c>
      <x:c r="M14" s="14" t="n">
        <x:f>IF(L14=0,0,IF(AND(K14&gt;0,COUNT(I14:J14)&lt;2),"待現場",IF(K14&gt;0,ROUND(MAX((I14-G14)*24,(H14-J14)*24),2),L14)))</x:f>
        <x:v>4</x:v>
      </x:c>
      <x:c r="N14" s="2" t="n">
        <x:v>1</x:v>
      </x:c>
      <x:c r="O14" s="2" t="str">
        <x:v>炸區</x:v>
      </x:c>
      <x:c r="P14" s="11" t="str">
        <x:v>整天；依排班者批註主崗改炸區</x:v>
      </x:c>
    </x:row>
    <x:row r="15" ht="34" customHeight="1">
      <x:c r="A15" s="12" t="n">
        <x:v>46316</x:v>
      </x:c>
      <x:c r="B15" s="2" t="str">
        <x:v>三</x:v>
      </x:c>
      <x:c r="C15" s="2" t="str">
        <x:v>P02</x:v>
      </x:c>
      <x:c r="D15" s="2" t="str">
        <x:v>正職</x:v>
      </x:c>
      <x:c r="E15" s="2" t="str">
        <x:v>預排</x:v>
      </x:c>
      <x:c r="F15" s="2" t="str">
        <x:v>整天</x:v>
      </x:c>
      <x:c r="G15" s="15" t="n">
        <x:v>0.4791666666666667</x:v>
      </x:c>
      <x:c r="H15" s="15" t="n">
        <x:v>0.8958333333333334</x:v>
      </x:c>
      <x:c r="I15" s="15" t="n">
        <x:v>0.6458333333333334</x:v>
      </x:c>
      <x:c r="J15" s="15" t="n">
        <x:v>0.7291666666666666</x:v>
      </x:c>
      <x:c r="K15" s="14" t="n">
        <x:f>IF(COUNT(I15:J15)=2,ROUND((J15-I15)*24,2),2)</x:f>
        <x:v>2</x:v>
      </x:c>
      <x:c r="L15" s="14" t="n">
        <x:f>IF(COUNT(G15:H15)=2,ROUND((H15-G15)*24-K15,2),0)</x:f>
        <x:v>8</x:v>
      </x:c>
      <x:c r="M15" s="14" t="n">
        <x:f>IF(L15=0,0,IF(AND(K15&gt;0,COUNT(I15:J15)&lt;2),"待現場",IF(K15&gt;0,ROUND(MAX((I15-G15)*24,(H15-J15)*24),2),L15)))</x:f>
        <x:v>4</x:v>
      </x:c>
      <x:c r="N15" s="2" t="n">
        <x:v>1</x:v>
      </x:c>
      <x:c r="O15" s="2" t="str">
        <x:v>吧台</x:v>
      </x:c>
      <x:c r="P15" s="11" t="str">
        <x:v>整天</x:v>
      </x:c>
    </x:row>
    <x:row r="16" ht="34" customHeight="1">
      <x:c r="A16" s="12" t="n">
        <x:v>46317</x:v>
      </x:c>
      <x:c r="B16" s="2" t="str">
        <x:v>四</x:v>
      </x:c>
      <x:c r="C16" s="2" t="str">
        <x:v>P02</x:v>
      </x:c>
      <x:c r="D16" s="2" t="str">
        <x:v>正職</x:v>
      </x:c>
      <x:c r="E16" s="2" t="str">
        <x:v>X</x:v>
      </x:c>
      <x:c r="F16" s="2" t="str">
        <x:v>—</x:v>
      </x:c>
      <x:c r="G16" s="15"/>
      <x:c r="H16" s="15"/>
      <x:c r="I16" s="15"/>
      <x:c r="J16" s="15"/>
      <x:c r="K16" s="14" t="n">
        <x:f>IF(COUNT(I16:J16)=2,ROUND((J16-I16)*24,2),0)</x:f>
        <x:v>0</x:v>
      </x:c>
      <x:c r="L16" s="14" t="n">
        <x:f>IF(COUNT(G16:H16)=2,ROUND((H16-G16)*24-K16,2),0)</x:f>
        <x:v>0</x:v>
      </x:c>
      <x:c r="M16" s="14" t="n">
        <x:f>IF(L16=0,0,IF(AND(K16&gt;0,COUNT(I16:J16)&lt;2),"待現場",IF(K16&gt;0,ROUND(MAX((I16-G16)*24,(H16-J16)*24),2),L16)))</x:f>
        <x:v>0</x:v>
      </x:c>
      <x:c r="N16" s="2" t="n">
        <x:v>0</x:v>
      </x:c>
      <x:c r="O16" s="2" t="str">
        <x:v>—</x:v>
      </x:c>
      <x:c r="P16" s="11" t="str">
        <x:v>X／指定休</x:v>
      </x:c>
    </x:row>
    <x:row r="17" ht="34" customHeight="1">
      <x:c r="A17" s="12" t="n">
        <x:v>46318</x:v>
      </x:c>
      <x:c r="B17" s="2" t="str">
        <x:v>五</x:v>
      </x:c>
      <x:c r="C17" s="2" t="str">
        <x:v>P02</x:v>
      </x:c>
      <x:c r="D17" s="2" t="str">
        <x:v>正職</x:v>
      </x:c>
      <x:c r="E17" s="2" t="str">
        <x:v>X</x:v>
      </x:c>
      <x:c r="F17" s="2" t="str">
        <x:v>—</x:v>
      </x:c>
      <x:c r="G17" s="15"/>
      <x:c r="H17" s="15"/>
      <x:c r="I17" s="15"/>
      <x:c r="J17" s="15"/>
      <x:c r="K17" s="14" t="n">
        <x:f>IF(COUNT(I17:J17)=2,ROUND((J17-I17)*24,2),0)</x:f>
        <x:v>0</x:v>
      </x:c>
      <x:c r="L17" s="14" t="n">
        <x:f>IF(COUNT(G17:H17)=2,ROUND((H17-G17)*24-K17,2),0)</x:f>
        <x:v>0</x:v>
      </x:c>
      <x:c r="M17" s="14" t="n">
        <x:f>IF(L17=0,0,IF(AND(K17&gt;0,COUNT(I17:J17)&lt;2),"待現場",IF(K17&gt;0,ROUND(MAX((I17-G17)*24,(H17-J17)*24),2),L17)))</x:f>
        <x:v>0</x:v>
      </x:c>
      <x:c r="N17" s="2" t="n">
        <x:v>0</x:v>
      </x:c>
      <x:c r="O17" s="2" t="str">
        <x:v>—</x:v>
      </x:c>
      <x:c r="P17" s="11" t="str">
        <x:v>X／指定休</x:v>
      </x:c>
    </x:row>
    <x:row r="18" ht="34" customHeight="1">
      <x:c r="A18" s="12" t="n">
        <x:v>46319</x:v>
      </x:c>
      <x:c r="B18" s="2" t="str">
        <x:v>六</x:v>
      </x:c>
      <x:c r="C18" s="2" t="str">
        <x:v>P02</x:v>
      </x:c>
      <x:c r="D18" s="2" t="str">
        <x:v>正職</x:v>
      </x:c>
      <x:c r="E18" s="2" t="str">
        <x:v>X</x:v>
      </x:c>
      <x:c r="F18" s="2" t="str">
        <x:v>—</x:v>
      </x:c>
      <x:c r="G18" s="15"/>
      <x:c r="H18" s="15"/>
      <x:c r="I18" s="15"/>
      <x:c r="J18" s="15"/>
      <x:c r="K18" s="14" t="n">
        <x:f>IF(COUNT(I18:J18)=2,ROUND((J18-I18)*24,2),0)</x:f>
        <x:v>0</x:v>
      </x:c>
      <x:c r="L18" s="14" t="n">
        <x:f>IF(COUNT(G18:H18)=2,ROUND((H18-G18)*24-K18,2),0)</x:f>
        <x:v>0</x:v>
      </x:c>
      <x:c r="M18" s="14" t="n">
        <x:f>IF(L18=0,0,IF(AND(K18&gt;0,COUNT(I18:J18)&lt;2),"待現場",IF(K18&gt;0,ROUND(MAX((I18-G18)*24,(H18-J18)*24),2),L18)))</x:f>
        <x:v>0</x:v>
      </x:c>
      <x:c r="N18" s="2" t="n">
        <x:v>0</x:v>
      </x:c>
      <x:c r="O18" s="2" t="str">
        <x:v>—</x:v>
      </x:c>
      <x:c r="P18" s="11" t="str">
        <x:v>X／指定休</x:v>
      </x:c>
    </x:row>
    <x:row r="19" ht="34" customHeight="1">
      <x:c r="A19" s="12" t="n">
        <x:v>46320</x:v>
      </x:c>
      <x:c r="B19" s="2" t="str">
        <x:v>日</x:v>
      </x:c>
      <x:c r="C19" s="2" t="str">
        <x:v>P02</x:v>
      </x:c>
      <x:c r="D19" s="2" t="str">
        <x:v>正職</x:v>
      </x:c>
      <x:c r="E19" s="2" t="str">
        <x:v>預排</x:v>
      </x:c>
      <x:c r="F19" s="2" t="str">
        <x:v>整天</x:v>
      </x:c>
      <x:c r="G19" s="15" t="n">
        <x:v>0.4583333333333333</x:v>
      </x:c>
      <x:c r="H19" s="15" t="n">
        <x:v>0.875</x:v>
      </x:c>
      <x:c r="I19" s="15" t="n">
        <x:v>0.625</x:v>
      </x:c>
      <x:c r="J19" s="15" t="n">
        <x:v>0.7083333333333334</x:v>
      </x:c>
      <x:c r="K19" s="14" t="n">
        <x:f>IF(COUNT(I19:J19)=2,ROUND((J19-I19)*24,2),2)</x:f>
        <x:v>2</x:v>
      </x:c>
      <x:c r="L19" s="14" t="n">
        <x:f>IF(COUNT(G19:H19)=2,ROUND((H19-G19)*24-K19,2),0)</x:f>
        <x:v>8</x:v>
      </x:c>
      <x:c r="M19" s="14" t="n">
        <x:f>IF(L19=0,0,IF(AND(K19&gt;0,COUNT(I19:J19)&lt;2),"待現場",IF(K19&gt;0,ROUND(MAX((I19-G19)*24,(H19-J19)*24),2),L19)))</x:f>
        <x:v>4</x:v>
      </x:c>
      <x:c r="N19" s="2" t="n">
        <x:v>1</x:v>
      </x:c>
      <x:c r="O19" s="2" t="str">
        <x:v>外場</x:v>
      </x:c>
      <x:c r="P19" s="11" t="str">
        <x:v>整天</x:v>
      </x:c>
    </x:row>
    <x:row r="20" ht="34" customHeight="1">
      <x:c r="A20" s="12" t="n">
        <x:v>46314</x:v>
      </x:c>
      <x:c r="B20" s="2" t="str">
        <x:v>一</x:v>
      </x:c>
      <x:c r="C20" s="2" t="str">
        <x:v>P03</x:v>
      </x:c>
      <x:c r="D20" s="2" t="str">
        <x:v>正職</x:v>
      </x:c>
      <x:c r="E20" s="2" t="str">
        <x:v>X</x:v>
      </x:c>
      <x:c r="F20" s="2" t="str">
        <x:v>—</x:v>
      </x:c>
      <x:c r="G20" s="15"/>
      <x:c r="H20" s="15"/>
      <x:c r="I20" s="15"/>
      <x:c r="J20" s="15"/>
      <x:c r="K20" s="14" t="n">
        <x:f>IF(COUNT(I20:J20)=2,ROUND((J20-I20)*24,2),0)</x:f>
        <x:v>0</x:v>
      </x:c>
      <x:c r="L20" s="14" t="n">
        <x:f>IF(COUNT(G20:H20)=2,ROUND((H20-G20)*24-K20,2),0)</x:f>
        <x:v>0</x:v>
      </x:c>
      <x:c r="M20" s="14" t="n">
        <x:f>IF(L20=0,0,IF(AND(K20&gt;0,COUNT(I20:J20)&lt;2),"待現場",IF(K20&gt;0,ROUND(MAX((I20-G20)*24,(H20-J20)*24),2),L20)))</x:f>
        <x:v>0</x:v>
      </x:c>
      <x:c r="N20" s="2" t="n">
        <x:v>0</x:v>
      </x:c>
      <x:c r="O20" s="2" t="str">
        <x:v>—</x:v>
      </x:c>
      <x:c r="P20" s="11" t="str">
        <x:v>X／週一休</x:v>
      </x:c>
    </x:row>
    <x:row r="21" ht="34" customHeight="1">
      <x:c r="A21" s="12" t="n">
        <x:v>46315</x:v>
      </x:c>
      <x:c r="B21" s="2" t="str">
        <x:v>二</x:v>
      </x:c>
      <x:c r="C21" s="2" t="str">
        <x:v>P03</x:v>
      </x:c>
      <x:c r="D21" s="2" t="str">
        <x:v>正職</x:v>
      </x:c>
      <x:c r="E21" s="2" t="str">
        <x:v>預排</x:v>
      </x:c>
      <x:c r="F21" s="2" t="str">
        <x:v>整天</x:v>
      </x:c>
      <x:c r="G21" s="15" t="n">
        <x:v>0.4791666666666667</x:v>
      </x:c>
      <x:c r="H21" s="15" t="n">
        <x:v>0.8958333333333334</x:v>
      </x:c>
      <x:c r="I21" s="15" t="n">
        <x:v>0.6458333333333334</x:v>
      </x:c>
      <x:c r="J21" s="15" t="n">
        <x:v>0.7291666666666666</x:v>
      </x:c>
      <x:c r="K21" s="14" t="n">
        <x:f>IF(COUNT(I21:J21)=2,ROUND((J21-I21)*24,2),2)</x:f>
        <x:v>2</x:v>
      </x:c>
      <x:c r="L21" s="14" t="n">
        <x:f>IF(COUNT(G21:H21)=2,ROUND((H21-G21)*24-K21,2),0)</x:f>
        <x:v>8</x:v>
      </x:c>
      <x:c r="M21" s="14" t="n">
        <x:f>IF(L21=0,0,IF(AND(K21&gt;0,COUNT(I21:J21)&lt;2),"待現場",IF(K21&gt;0,ROUND(MAX((I21-G21)*24,(H21-J21)*24),2),L21)))</x:f>
        <x:v>4</x:v>
      </x:c>
      <x:c r="N21" s="2" t="n">
        <x:v>1</x:v>
      </x:c>
      <x:c r="O21" s="2" t="str">
        <x:v>吧台</x:v>
      </x:c>
      <x:c r="P21" s="11" t="str">
        <x:v>整天</x:v>
      </x:c>
    </x:row>
    <x:row r="22" ht="34" customHeight="1">
      <x:c r="A22" s="12" t="n">
        <x:v>46316</x:v>
      </x:c>
      <x:c r="B22" s="2" t="str">
        <x:v>三</x:v>
      </x:c>
      <x:c r="C22" s="2" t="str">
        <x:v>P03</x:v>
      </x:c>
      <x:c r="D22" s="2" t="str">
        <x:v>正職</x:v>
      </x:c>
      <x:c r="E22" s="2" t="str">
        <x:v>休</x:v>
      </x:c>
      <x:c r="F22" s="2" t="str">
        <x:v>—</x:v>
      </x:c>
      <x:c r="G22" s="15"/>
      <x:c r="H22" s="15"/>
      <x:c r="I22" s="15"/>
      <x:c r="J22" s="15"/>
      <x:c r="K22" s="14" t="n">
        <x:f>IF(COUNT(I22:J22)=2,ROUND((J22-I22)*24,2),0)</x:f>
        <x:v>0</x:v>
      </x:c>
      <x:c r="L22" s="14" t="n">
        <x:f>IF(COUNT(G22:H22)=2,ROUND((H22-G22)*24-K22,2),0)</x:f>
        <x:v>0</x:v>
      </x:c>
      <x:c r="M22" s="14" t="n">
        <x:f>IF(L22=0,0,IF(AND(K22&gt;0,COUNT(I22:J22)&lt;2),"待現場",IF(K22&gt;0,ROUND(MAX((I22-G22)*24,(H22-J22)*24),2),L22)))</x:f>
        <x:v>0</x:v>
      </x:c>
      <x:c r="N22" s="2" t="n">
        <x:v>0</x:v>
      </x:c>
      <x:c r="O22" s="2" t="str">
        <x:v>—</x:v>
      </x:c>
      <x:c r="P22" s="11" t="str">
        <x:v>整天</x:v>
      </x:c>
    </x:row>
    <x:row r="23" ht="34" customHeight="1">
      <x:c r="A23" s="12" t="n">
        <x:v>46317</x:v>
      </x:c>
      <x:c r="B23" s="2" t="str">
        <x:v>四</x:v>
      </x:c>
      <x:c r="C23" s="2" t="str">
        <x:v>P03</x:v>
      </x:c>
      <x:c r="D23" s="2" t="str">
        <x:v>正職</x:v>
      </x:c>
      <x:c r="E23" s="2" t="str">
        <x:v>預排</x:v>
      </x:c>
      <x:c r="F23" s="2" t="str">
        <x:v>整天</x:v>
      </x:c>
      <x:c r="G23" s="15" t="n">
        <x:v>0.4791666666666667</x:v>
      </x:c>
      <x:c r="H23" s="15" t="n">
        <x:v>0.8958333333333334</x:v>
      </x:c>
      <x:c r="I23" s="15" t="n">
        <x:v>0.6458333333333334</x:v>
      </x:c>
      <x:c r="J23" s="15" t="n">
        <x:v>0.7291666666666666</x:v>
      </x:c>
      <x:c r="K23" s="14" t="n">
        <x:f>IF(COUNT(I23:J23)=2,ROUND((J23-I23)*24,2),2)</x:f>
        <x:v>2</x:v>
      </x:c>
      <x:c r="L23" s="14" t="n">
        <x:f>IF(COUNT(G23:H23)=2,ROUND((H23-G23)*24-K23,2),0)</x:f>
        <x:v>8</x:v>
      </x:c>
      <x:c r="M23" s="14" t="n">
        <x:f>IF(L23=0,0,IF(AND(K23&gt;0,COUNT(I23:J23)&lt;2),"待現場",IF(K23&gt;0,ROUND(MAX((I23-G23)*24,(H23-J23)*24),2),L23)))</x:f>
        <x:v>4</x:v>
      </x:c>
      <x:c r="N23" s="2" t="n">
        <x:v>1</x:v>
      </x:c>
      <x:c r="O23" s="2" t="str">
        <x:v>吧台</x:v>
      </x:c>
      <x:c r="P23" s="11" t="str">
        <x:v>整天</x:v>
      </x:c>
    </x:row>
    <x:row r="24" ht="34" customHeight="1">
      <x:c r="A24" s="12" t="n">
        <x:v>46318</x:v>
      </x:c>
      <x:c r="B24" s="2" t="str">
        <x:v>五</x:v>
      </x:c>
      <x:c r="C24" s="2" t="str">
        <x:v>P03</x:v>
      </x:c>
      <x:c r="D24" s="2" t="str">
        <x:v>正職</x:v>
      </x:c>
      <x:c r="E24" s="2" t="str">
        <x:v>預排</x:v>
      </x:c>
      <x:c r="F24" s="2" t="str">
        <x:v>整天</x:v>
      </x:c>
      <x:c r="G24" s="15" t="n">
        <x:v>0.4791666666666667</x:v>
      </x:c>
      <x:c r="H24" s="15" t="n">
        <x:v>0.8958333333333334</x:v>
      </x:c>
      <x:c r="I24" s="15" t="n">
        <x:v>0.6458333333333334</x:v>
      </x:c>
      <x:c r="J24" s="15" t="n">
        <x:v>0.7291666666666666</x:v>
      </x:c>
      <x:c r="K24" s="14" t="n">
        <x:f>IF(COUNT(I24:J24)=2,ROUND((J24-I24)*24,2),2)</x:f>
        <x:v>2</x:v>
      </x:c>
      <x:c r="L24" s="14" t="n">
        <x:f>IF(COUNT(G24:H24)=2,ROUND((H24-G24)*24-K24,2),0)</x:f>
        <x:v>8</x:v>
      </x:c>
      <x:c r="M24" s="14" t="n">
        <x:f>IF(L24=0,0,IF(AND(K24&gt;0,COUNT(I24:J24)&lt;2),"待現場",IF(K24&gt;0,ROUND(MAX((I24-G24)*24,(H24-J24)*24),2),L24)))</x:f>
        <x:v>4</x:v>
      </x:c>
      <x:c r="N24" s="2" t="n">
        <x:v>1</x:v>
      </x:c>
      <x:c r="O24" s="2" t="str">
        <x:v>吧台</x:v>
      </x:c>
      <x:c r="P24" s="11" t="str">
        <x:v>整天</x:v>
      </x:c>
    </x:row>
    <x:row r="25" ht="34" customHeight="1">
      <x:c r="A25" s="12" t="n">
        <x:v>46319</x:v>
      </x:c>
      <x:c r="B25" s="2" t="str">
        <x:v>六</x:v>
      </x:c>
      <x:c r="C25" s="2" t="str">
        <x:v>P03</x:v>
      </x:c>
      <x:c r="D25" s="2" t="str">
        <x:v>正職</x:v>
      </x:c>
      <x:c r="E25" s="2" t="str">
        <x:v>預排</x:v>
      </x:c>
      <x:c r="F25" s="2" t="str">
        <x:v>整天</x:v>
      </x:c>
      <x:c r="G25" s="15" t="n">
        <x:v>0.4791666666666667</x:v>
      </x:c>
      <x:c r="H25" s="15" t="n">
        <x:v>0.8958333333333334</x:v>
      </x:c>
      <x:c r="I25" s="15"/>
      <x:c r="J25" s="15"/>
      <x:c r="K25" s="14" t="n">
        <x:f>IF(COUNT(I25:J25)=2,ROUND((J25-I25)*24,2),2)</x:f>
        <x:v>2</x:v>
      </x:c>
      <x:c r="L25" s="14" t="n">
        <x:f>IF(COUNT(G25:H25)=2,ROUND((H25-G25)*24-K25,2),0)</x:f>
        <x:v>8</x:v>
      </x:c>
      <x:c r="M25" s="14" t="str">
        <x:f>IF(L25=0,0,IF(AND(K25&gt;0,COUNT(I25:J25)&lt;2),"待現場",IF(K25&gt;0,ROUND(MAX((I25-G25)*24,(H25-J25)*24),2),L25)))</x:f>
        <x:v>待現場</x:v>
      </x:c>
      <x:c r="N25" s="2" t="n">
        <x:v>1</x:v>
      </x:c>
      <x:c r="O25" s="2" t="str">
        <x:v>吧台</x:v>
      </x:c>
      <x:c r="P25" s="11" t="str">
        <x:v>整天；休2h，時點現場安排</x:v>
      </x:c>
    </x:row>
    <x:row r="26" ht="34" customHeight="1">
      <x:c r="A26" s="12" t="n">
        <x:v>46320</x:v>
      </x:c>
      <x:c r="B26" s="2" t="str">
        <x:v>日</x:v>
      </x:c>
      <x:c r="C26" s="2" t="str">
        <x:v>P03</x:v>
      </x:c>
      <x:c r="D26" s="2" t="str">
        <x:v>正職</x:v>
      </x:c>
      <x:c r="E26" s="2" t="str">
        <x:v>預排</x:v>
      </x:c>
      <x:c r="F26" s="2" t="str">
        <x:v>整天</x:v>
      </x:c>
      <x:c r="G26" s="15" t="n">
        <x:v>0.4791666666666667</x:v>
      </x:c>
      <x:c r="H26" s="15" t="n">
        <x:v>0.8958333333333334</x:v>
      </x:c>
      <x:c r="I26" s="15"/>
      <x:c r="J26" s="15"/>
      <x:c r="K26" s="14" t="n">
        <x:f>IF(COUNT(I26:J26)=2,ROUND((J26-I26)*24,2),2)</x:f>
        <x:v>2</x:v>
      </x:c>
      <x:c r="L26" s="14" t="n">
        <x:f>IF(COUNT(G26:H26)=2,ROUND((H26-G26)*24-K26,2),0)</x:f>
        <x:v>8</x:v>
      </x:c>
      <x:c r="M26" s="14" t="str">
        <x:f>IF(L26=0,0,IF(AND(K26&gt;0,COUNT(I26:J26)&lt;2),"待現場",IF(K26&gt;0,ROUND(MAX((I26-G26)*24,(H26-J26)*24),2),L26)))</x:f>
        <x:v>待現場</x:v>
      </x:c>
      <x:c r="N26" s="2" t="n">
        <x:v>1</x:v>
      </x:c>
      <x:c r="O26" s="2" t="str">
        <x:v>吧台</x:v>
      </x:c>
      <x:c r="P26" s="11" t="str">
        <x:v>整天；休2h，時點現場安排</x:v>
      </x:c>
    </x:row>
    <x:row r="27" ht="34" customHeight="1">
      <x:c r="A27" s="12" t="n">
        <x:v>46314</x:v>
      </x:c>
      <x:c r="B27" s="2" t="str">
        <x:v>一</x:v>
      </x:c>
      <x:c r="C27" s="2" t="str">
        <x:v>P04</x:v>
      </x:c>
      <x:c r="D27" s="2" t="str">
        <x:v>工讀</x:v>
      </x:c>
      <x:c r="E27" s="2" t="str">
        <x:v>X</x:v>
      </x:c>
      <x:c r="F27" s="2" t="str">
        <x:v>—</x:v>
      </x:c>
      <x:c r="G27" s="15"/>
      <x:c r="H27" s="15"/>
      <x:c r="I27" s="15"/>
      <x:c r="J27" s="15"/>
      <x:c r="K27" s="14" t="n">
        <x:f>IF(COUNT(I27:J27)=2,ROUND((J27-I27)*24,2),0)</x:f>
        <x:v>0</x:v>
      </x:c>
      <x:c r="L27" s="14" t="n">
        <x:f>IF(COUNT(G27:H27)=2,ROUND((H27-G27)*24-K27,2),0)</x:f>
        <x:v>0</x:v>
      </x:c>
      <x:c r="M27" s="14" t="n">
        <x:f>IF(L27=0,0,IF(AND(K27&gt;0,COUNT(I27:J27)&lt;2),"待現場",IF(K27&gt;0,ROUND(MAX((I27-G27)*24,(H27-J27)*24),2),L27)))</x:f>
        <x:v>0</x:v>
      </x:c>
      <x:c r="N27" s="2" t="n">
        <x:v>0</x:v>
      </x:c>
      <x:c r="O27" s="2" t="str">
        <x:v>—</x:v>
      </x:c>
      <x:c r="P27" s="11" t="str">
        <x:v>X</x:v>
      </x:c>
    </x:row>
    <x:row r="28" ht="34" customHeight="1">
      <x:c r="A28" s="12" t="n">
        <x:v>46315</x:v>
      </x:c>
      <x:c r="B28" s="2" t="str">
        <x:v>二</x:v>
      </x:c>
      <x:c r="C28" s="2" t="str">
        <x:v>P04</x:v>
      </x:c>
      <x:c r="D28" s="2" t="str">
        <x:v>工讀</x:v>
      </x:c>
      <x:c r="E28" s="2" t="str">
        <x:v>X</x:v>
      </x:c>
      <x:c r="F28" s="2" t="str">
        <x:v>—</x:v>
      </x:c>
      <x:c r="G28" s="15"/>
      <x:c r="H28" s="15"/>
      <x:c r="I28" s="15"/>
      <x:c r="J28" s="15"/>
      <x:c r="K28" s="14" t="n">
        <x:f>IF(COUNT(I28:J28)=2,ROUND((J28-I28)*24,2),0)</x:f>
        <x:v>0</x:v>
      </x:c>
      <x:c r="L28" s="14" t="n">
        <x:f>IF(COUNT(G28:H28)=2,ROUND((H28-G28)*24-K28,2),0)</x:f>
        <x:v>0</x:v>
      </x:c>
      <x:c r="M28" s="14" t="n">
        <x:f>IF(L28=0,0,IF(AND(K28&gt;0,COUNT(I28:J28)&lt;2),"待現場",IF(K28&gt;0,ROUND(MAX((I28-G28)*24,(H28-J28)*24),2),L28)))</x:f>
        <x:v>0</x:v>
      </x:c>
      <x:c r="N28" s="2" t="n">
        <x:v>0</x:v>
      </x:c>
      <x:c r="O28" s="2" t="str">
        <x:v>—</x:v>
      </x:c>
      <x:c r="P28" s="11" t="str">
        <x:v>X</x:v>
      </x:c>
    </x:row>
    <x:row r="29" ht="34" customHeight="1">
      <x:c r="A29" s="12" t="n">
        <x:v>46316</x:v>
      </x:c>
      <x:c r="B29" s="2" t="str">
        <x:v>三</x:v>
      </x:c>
      <x:c r="C29" s="2" t="str">
        <x:v>P04</x:v>
      </x:c>
      <x:c r="D29" s="2" t="str">
        <x:v>工讀</x:v>
      </x:c>
      <x:c r="E29" s="2" t="str">
        <x:v>預排</x:v>
      </x:c>
      <x:c r="F29" s="2" t="str">
        <x:v>整天</x:v>
      </x:c>
      <x:c r="G29" s="15" t="n">
        <x:v>0.4791666666666667</x:v>
      </x:c>
      <x:c r="H29" s="15" t="n">
        <x:v>0.8958333333333334</x:v>
      </x:c>
      <x:c r="I29" s="15" t="n">
        <x:v>0.6458333333333334</x:v>
      </x:c>
      <x:c r="J29" s="15" t="n">
        <x:v>0.7291666666666666</x:v>
      </x:c>
      <x:c r="K29" s="14" t="n">
        <x:f>IF(COUNT(I29:J29)=2,ROUND((J29-I29)*24,2),2)</x:f>
        <x:v>2</x:v>
      </x:c>
      <x:c r="L29" s="14" t="n">
        <x:f>IF(COUNT(G29:H29)=2,ROUND((H29-G29)*24-K29,2),0)</x:f>
        <x:v>8</x:v>
      </x:c>
      <x:c r="M29" s="14" t="n">
        <x:f>IF(L29=0,0,IF(AND(K29&gt;0,COUNT(I29:J29)&lt;2),"待現場",IF(K29&gt;0,ROUND(MAX((I29-G29)*24,(H29-J29)*24),2),L29)))</x:f>
        <x:v>4</x:v>
      </x:c>
      <x:c r="N29" s="2" t="n">
        <x:v>1</x:v>
      </x:c>
      <x:c r="O29" s="2" t="str">
        <x:v>料區；外場</x:v>
      </x:c>
      <x:c r="P29" s="11" t="str">
        <x:v>最新批註指定午料區、晚外場。</x:v>
      </x:c>
    </x:row>
    <x:row r="30" ht="34" customHeight="1">
      <x:c r="A30" s="12" t="n">
        <x:v>46317</x:v>
      </x:c>
      <x:c r="B30" s="2" t="str">
        <x:v>四</x:v>
      </x:c>
      <x:c r="C30" s="2" t="str">
        <x:v>P04</x:v>
      </x:c>
      <x:c r="D30" s="2" t="str">
        <x:v>工讀</x:v>
      </x:c>
      <x:c r="E30" s="2" t="str">
        <x:v>預排</x:v>
      </x:c>
      <x:c r="F30" s="2" t="str">
        <x:v>短班</x:v>
      </x:c>
      <x:c r="G30" s="15" t="n">
        <x:v>0.7083333333333334</x:v>
      </x:c>
      <x:c r="H30" s="15" t="n">
        <x:v>0.8958333333333334</x:v>
      </x:c>
      <x:c r="I30" s="15"/>
      <x:c r="J30" s="15"/>
      <x:c r="K30" s="14" t="n">
        <x:f>IF(COUNT(I30:J30)=2,ROUND((J30-I30)*24,2),0.5)</x:f>
        <x:v>0.5</x:v>
      </x:c>
      <x:c r="L30" s="14" t="n">
        <x:f>IF(COUNT(G30:H30)=2,ROUND((H30-G30)*24-K30,2),0)</x:f>
        <x:v>4</x:v>
      </x:c>
      <x:c r="M30" s="14" t="str">
        <x:f>IF(L30=0,0,IF(AND(K30&gt;0,COUNT(I30:J30)&lt;2),"待現場",IF(K30&gt;0,ROUND(MAX((I30-G30)*24,(H30-J30)*24),2),L30)))</x:f>
        <x:v>待現場</x:v>
      </x:c>
      <x:c r="N30" s="2" t="n">
        <x:v>0</x:v>
      </x:c>
      <x:c r="O30" s="2" t="str">
        <x:v>料區</x:v>
      </x:c>
      <x:c r="P30" s="11" t="str">
        <x:v>17–21:30；休0.5h，時點現場安排</x:v>
      </x:c>
    </x:row>
    <x:row r="31" ht="34" customHeight="1">
      <x:c r="A31" s="12" t="n">
        <x:v>46318</x:v>
      </x:c>
      <x:c r="B31" s="2" t="str">
        <x:v>五</x:v>
      </x:c>
      <x:c r="C31" s="2" t="str">
        <x:v>P04</x:v>
      </x:c>
      <x:c r="D31" s="2" t="str">
        <x:v>工讀</x:v>
      </x:c>
      <x:c r="E31" s="2" t="str">
        <x:v>X</x:v>
      </x:c>
      <x:c r="F31" s="2" t="str">
        <x:v>—</x:v>
      </x:c>
      <x:c r="G31" s="15"/>
      <x:c r="H31" s="15"/>
      <x:c r="I31" s="15"/>
      <x:c r="J31" s="15"/>
      <x:c r="K31" s="14" t="n">
        <x:f>IF(COUNT(I31:J31)=2,ROUND((J31-I31)*24,2),0)</x:f>
        <x:v>0</x:v>
      </x:c>
      <x:c r="L31" s="14" t="n">
        <x:f>IF(COUNT(G31:H31)=2,ROUND((H31-G31)*24-K31,2),0)</x:f>
        <x:v>0</x:v>
      </x:c>
      <x:c r="M31" s="14" t="n">
        <x:f>IF(L31=0,0,IF(AND(K31&gt;0,COUNT(I31:J31)&lt;2),"待現場",IF(K31&gt;0,ROUND(MAX((I31-G31)*24,(H31-J31)*24),2),L31)))</x:f>
        <x:v>0</x:v>
      </x:c>
      <x:c r="N31" s="2" t="n">
        <x:v>0</x:v>
      </x:c>
      <x:c r="O31" s="2" t="str">
        <x:v>—</x:v>
      </x:c>
      <x:c r="P31" s="11" t="str">
        <x:v>X</x:v>
      </x:c>
    </x:row>
    <x:row r="32" ht="34" customHeight="1">
      <x:c r="A32" s="12" t="n">
        <x:v>46319</x:v>
      </x:c>
      <x:c r="B32" s="2" t="str">
        <x:v>六</x:v>
      </x:c>
      <x:c r="C32" s="2" t="str">
        <x:v>P04</x:v>
      </x:c>
      <x:c r="D32" s="2" t="str">
        <x:v>工讀</x:v>
      </x:c>
      <x:c r="E32" s="2" t="str">
        <x:v>預排</x:v>
      </x:c>
      <x:c r="F32" s="2" t="str">
        <x:v>整天</x:v>
      </x:c>
      <x:c r="G32" s="15" t="n">
        <x:v>0.4791666666666667</x:v>
      </x:c>
      <x:c r="H32" s="15" t="n">
        <x:v>0.8958333333333334</x:v>
      </x:c>
      <x:c r="I32" s="15"/>
      <x:c r="J32" s="15"/>
      <x:c r="K32" s="14" t="n">
        <x:f>IF(COUNT(I32:J32)=2,ROUND((J32-I32)*24,2),2)</x:f>
        <x:v>2</x:v>
      </x:c>
      <x:c r="L32" s="14" t="n">
        <x:f>IF(COUNT(G32:H32)=2,ROUND((H32-G32)*24-K32,2),0)</x:f>
        <x:v>8</x:v>
      </x:c>
      <x:c r="M32" s="14" t="str">
        <x:f>IF(L32=0,0,IF(AND(K32&gt;0,COUNT(I32:J32)&lt;2),"待現場",IF(K32&gt;0,ROUND(MAX((I32-G32)*24,(H32-J32)*24),2),L32)))</x:f>
        <x:v>待現場</x:v>
      </x:c>
      <x:c r="N32" s="2" t="n">
        <x:v>1</x:v>
      </x:c>
      <x:c r="O32" s="2" t="str">
        <x:v>控場</x:v>
      </x:c>
      <x:c r="P32" s="11" t="str">
        <x:v>整天；休2h，時點現場安排</x:v>
      </x:c>
    </x:row>
    <x:row r="33" ht="34" customHeight="1">
      <x:c r="A33" s="12" t="n">
        <x:v>46320</x:v>
      </x:c>
      <x:c r="B33" s="2" t="str">
        <x:v>日</x:v>
      </x:c>
      <x:c r="C33" s="2" t="str">
        <x:v>P04</x:v>
      </x:c>
      <x:c r="D33" s="2" t="str">
        <x:v>工讀</x:v>
      </x:c>
      <x:c r="E33" s="2" t="str">
        <x:v>X</x:v>
      </x:c>
      <x:c r="F33" s="2" t="str">
        <x:v>—</x:v>
      </x:c>
      <x:c r="G33" s="15"/>
      <x:c r="H33" s="15"/>
      <x:c r="I33" s="15"/>
      <x:c r="J33" s="15"/>
      <x:c r="K33" s="14" t="n">
        <x:f>IF(COUNT(I33:J33)=2,ROUND((J33-I33)*24,2),0)</x:f>
        <x:v>0</x:v>
      </x:c>
      <x:c r="L33" s="14" t="n">
        <x:f>IF(COUNT(G33:H33)=2,ROUND((H33-G33)*24-K33,2),0)</x:f>
        <x:v>0</x:v>
      </x:c>
      <x:c r="M33" s="14" t="n">
        <x:f>IF(L33=0,0,IF(AND(K33&gt;0,COUNT(I33:J33)&lt;2),"待現場",IF(K33&gt;0,ROUND(MAX((I33-G33)*24,(H33-J33)*24),2),L33)))</x:f>
        <x:v>0</x:v>
      </x:c>
      <x:c r="N33" s="2" t="n">
        <x:v>0</x:v>
      </x:c>
      <x:c r="O33" s="2" t="str">
        <x:v>—</x:v>
      </x:c>
      <x:c r="P33" s="11" t="str">
        <x:v>X</x:v>
      </x:c>
    </x:row>
    <x:row r="34" ht="34" customHeight="1">
      <x:c r="A34" s="12" t="n">
        <x:v>46314</x:v>
      </x:c>
      <x:c r="B34" s="2" t="str">
        <x:v>一</x:v>
      </x:c>
      <x:c r="C34" s="2" t="str">
        <x:v>P05</x:v>
      </x:c>
      <x:c r="D34" s="2" t="str">
        <x:v>工讀</x:v>
      </x:c>
      <x:c r="E34" s="2" t="str">
        <x:v>X</x:v>
      </x:c>
      <x:c r="F34" s="2" t="str">
        <x:v>—</x:v>
      </x:c>
      <x:c r="G34" s="15"/>
      <x:c r="H34" s="15"/>
      <x:c r="I34" s="15"/>
      <x:c r="J34" s="15"/>
      <x:c r="K34" s="14" t="n">
        <x:f>IF(COUNT(I34:J34)=2,ROUND((J34-I34)*24,2),0)</x:f>
        <x:v>0</x:v>
      </x:c>
      <x:c r="L34" s="14" t="n">
        <x:f>IF(COUNT(G34:H34)=2,ROUND((H34-G34)*24-K34,2),0)</x:f>
        <x:v>0</x:v>
      </x:c>
      <x:c r="M34" s="14" t="n">
        <x:f>IF(L34=0,0,IF(AND(K34&gt;0,COUNT(I34:J34)&lt;2),"待現場",IF(K34&gt;0,ROUND(MAX((I34-G34)*24,(H34-J34)*24),2),L34)))</x:f>
        <x:v>0</x:v>
      </x:c>
      <x:c r="N34" s="2" t="n">
        <x:v>0</x:v>
      </x:c>
      <x:c r="O34" s="2" t="str">
        <x:v>—</x:v>
      </x:c>
      <x:c r="P34" s="11" t="str">
        <x:v>X</x:v>
      </x:c>
    </x:row>
    <x:row r="35" ht="34" customHeight="1">
      <x:c r="A35" s="12" t="n">
        <x:v>46315</x:v>
      </x:c>
      <x:c r="B35" s="2" t="str">
        <x:v>二</x:v>
      </x:c>
      <x:c r="C35" s="2" t="str">
        <x:v>P05</x:v>
      </x:c>
      <x:c r="D35" s="2" t="str">
        <x:v>工讀</x:v>
      </x:c>
      <x:c r="E35" s="2" t="str">
        <x:v>休</x:v>
      </x:c>
      <x:c r="F35" s="2" t="str">
        <x:v>—</x:v>
      </x:c>
      <x:c r="G35" s="15"/>
      <x:c r="H35" s="15"/>
      <x:c r="I35" s="15"/>
      <x:c r="J35" s="15"/>
      <x:c r="K35" s="14" t="n">
        <x:f>0</x:f>
        <x:v>0</x:v>
      </x:c>
      <x:c r="L35" s="14" t="n">
        <x:f>IF(COUNT(G35:H35)=2,ROUND((H35-G35)*24-K35,2),0)</x:f>
        <x:v>0</x:v>
      </x:c>
      <x:c r="M35" s="14" t="n">
        <x:f>IF(L35=0,0,IF(AND(K35&gt;0,COUNT(I35:J35)&lt;2),"待現場",IF(K35&gt;0,ROUND(MAX((I35-G35)*24,(H35-J35)*24),2),L35)))</x:f>
        <x:v>0</x:v>
      </x:c>
      <x:c r="N35" s="2" t="n">
        <x:v>0</x:v>
      </x:c>
      <x:c r="O35" s="2" t="str">
        <x:v>—</x:v>
      </x:c>
      <x:c r="P35" s="11" t="str">
        <x:v>最新批註10/20改休，取代先前11–15:30例外班。</x:v>
      </x:c>
    </x:row>
    <x:row r="36" ht="34" customHeight="1">
      <x:c r="A36" s="12" t="n">
        <x:v>46316</x:v>
      </x:c>
      <x:c r="B36" s="2" t="str">
        <x:v>三</x:v>
      </x:c>
      <x:c r="C36" s="2" t="str">
        <x:v>P05</x:v>
      </x:c>
      <x:c r="D36" s="2" t="str">
        <x:v>工讀</x:v>
      </x:c>
      <x:c r="E36" s="2" t="str">
        <x:v>預排</x:v>
      </x:c>
      <x:c r="F36" s="2" t="str">
        <x:v>短班</x:v>
      </x:c>
      <x:c r="G36" s="15" t="n">
        <x:v>0.4166666666666667</x:v>
      </x:c>
      <x:c r="H36" s="15" t="n">
        <x:v>0.6458333333333334</x:v>
      </x:c>
      <x:c r="I36" s="15" t="n">
        <x:v>0.5416666666666666</x:v>
      </x:c>
      <x:c r="J36" s="15" t="n">
        <x:v>0.5625</x:v>
      </x:c>
      <x:c r="K36" s="14" t="n">
        <x:f>IF(COUNT(I36:J36)=2,ROUND((J36-I36)*24,2),0.5)</x:f>
        <x:v>0.5</x:v>
      </x:c>
      <x:c r="L36" s="14" t="n">
        <x:f>IF(COUNT(G36:H36)=2,ROUND((H36-G36)*24-K36,2),0)</x:f>
        <x:v>5</x:v>
      </x:c>
      <x:c r="M36" s="14" t="n">
        <x:f>IF(L36=0,0,IF(AND(K36&gt;0,COUNT(I36:J36)&lt;2),"待現場",IF(K36&gt;0,ROUND(MAX((I36-G36)*24,(H36-J36)*24),2),L36)))</x:f>
        <x:v>3</x:v>
      </x:c>
      <x:c r="N36" s="2" t="n">
        <x:v>0</x:v>
      </x:c>
      <x:c r="O36" s="2" t="str">
        <x:v>外場</x:v>
      </x:c>
      <x:c r="P36" s="11" t="str">
        <x:v>10–15:30外場；P10已改11點上班，10–11無合格開店者同班，帶訓／開店缺口待處理。</x:v>
      </x:c>
    </x:row>
    <x:row r="37" ht="34" customHeight="1">
      <x:c r="A37" s="12" t="n">
        <x:v>46317</x:v>
      </x:c>
      <x:c r="B37" s="2" t="str">
        <x:v>四</x:v>
      </x:c>
      <x:c r="C37" s="2" t="str">
        <x:v>P05</x:v>
      </x:c>
      <x:c r="D37" s="2" t="str">
        <x:v>工讀</x:v>
      </x:c>
      <x:c r="E37" s="2" t="str">
        <x:v>休</x:v>
      </x:c>
      <x:c r="F37" s="2" t="str">
        <x:v>—</x:v>
      </x:c>
      <x:c r="G37" s="15"/>
      <x:c r="H37" s="15"/>
      <x:c r="I37" s="15"/>
      <x:c r="J37" s="15"/>
      <x:c r="K37" s="14" t="n">
        <x:f>IF(COUNT(I37:J37)=2,ROUND((J37-I37)*24,2),0)</x:f>
        <x:v>0</x:v>
      </x:c>
      <x:c r="L37" s="14" t="n">
        <x:f>IF(COUNT(G37:H37)=2,ROUND((H37-G37)*24-K37,2),0)</x:f>
        <x:v>0</x:v>
      </x:c>
      <x:c r="M37" s="14" t="n">
        <x:f>IF(L37=0,0,IF(AND(K37&gt;0,COUNT(I37:J37)&lt;2),"待現場",IF(K37&gt;0,ROUND(MAX((I37-G37)*24,(H37-J37)*24),2),L37)))</x:f>
        <x:v>0</x:v>
      </x:c>
      <x:c r="N37" s="2" t="n">
        <x:v>0</x:v>
      </x:c>
      <x:c r="O37" s="2" t="str">
        <x:v>—</x:v>
      </x:c>
      <x:c r="P37" s="11" t="str">
        <x:v>11–17</x:v>
      </x:c>
    </x:row>
    <x:row r="38" ht="34" customHeight="1">
      <x:c r="A38" s="12" t="n">
        <x:v>46318</x:v>
      </x:c>
      <x:c r="B38" s="2" t="str">
        <x:v>五</x:v>
      </x:c>
      <x:c r="C38" s="2" t="str">
        <x:v>P05</x:v>
      </x:c>
      <x:c r="D38" s="2" t="str">
        <x:v>工讀</x:v>
      </x:c>
      <x:c r="E38" s="2" t="str">
        <x:v>預排</x:v>
      </x:c>
      <x:c r="F38" s="2" t="str">
        <x:v>短班</x:v>
      </x:c>
      <x:c r="G38" s="15" t="n">
        <x:v>0.7083333333333334</x:v>
      </x:c>
      <x:c r="H38" s="15" t="n">
        <x:v>0.8958333333333334</x:v>
      </x:c>
      <x:c r="I38" s="15"/>
      <x:c r="J38" s="15"/>
      <x:c r="K38" s="14" t="n">
        <x:f>IF(COUNT(I38:J38)=2,ROUND((J38-I38)*24,2),0.5)</x:f>
        <x:v>0.5</x:v>
      </x:c>
      <x:c r="L38" s="14" t="n">
        <x:f>IF(COUNT(G38:H38)=2,ROUND((H38-G38)*24-K38,2),0)</x:f>
        <x:v>4</x:v>
      </x:c>
      <x:c r="M38" s="14" t="str">
        <x:f>IF(L38=0,0,IF(AND(K38&gt;0,COUNT(I38:J38)&lt;2),"待現場",IF(K38&gt;0,ROUND(MAX((I38-G38)*24,(H38-J38)*24),2),L38)))</x:f>
        <x:v>待現場</x:v>
      </x:c>
      <x:c r="N38" s="2" t="n">
        <x:v>0</x:v>
      </x:c>
      <x:c r="O38" s="2" t="str">
        <x:v>炸區</x:v>
      </x:c>
      <x:c r="P38" s="11" t="str">
        <x:v>17–21:30炸區（最新修正）；休0.5h，時點現場安排</x:v>
      </x:c>
    </x:row>
    <x:row r="39" ht="34" customHeight="1">
      <x:c r="A39" s="12" t="n">
        <x:v>46319</x:v>
      </x:c>
      <x:c r="B39" s="2" t="str">
        <x:v>六</x:v>
      </x:c>
      <x:c r="C39" s="2" t="str">
        <x:v>P05</x:v>
      </x:c>
      <x:c r="D39" s="2" t="str">
        <x:v>工讀</x:v>
      </x:c>
      <x:c r="E39" s="2" t="str">
        <x:v>預排</x:v>
      </x:c>
      <x:c r="F39" s="2" t="str">
        <x:v>整天</x:v>
      </x:c>
      <x:c r="G39" s="15" t="n">
        <x:v>0.5</x:v>
      </x:c>
      <x:c r="H39" s="15" t="n">
        <x:v>0.9166666666666666</x:v>
      </x:c>
      <x:c r="I39" s="15" t="n">
        <x:v>0.6666666666666666</x:v>
      </x:c>
      <x:c r="J39" s="15" t="n">
        <x:v>0.75</x:v>
      </x:c>
      <x:c r="K39" s="14" t="n">
        <x:f>IF(COUNT(I39:J39)=2,ROUND((J39-I39)*24,2),2)</x:f>
        <x:v>2</x:v>
      </x:c>
      <x:c r="L39" s="14" t="n">
        <x:f>IF(COUNT(G39:H39)=2,ROUND((H39-G39)*24-K39,2),0)</x:f>
        <x:v>8</x:v>
      </x:c>
      <x:c r="M39" s="14" t="n">
        <x:f>IF(L39=0,0,IF(AND(K39&gt;0,COUNT(I39:J39)&lt;2),"待現場",IF(K39&gt;0,ROUND(MAX((I39-G39)*24,(H39-J39)*24),2),L39)))</x:f>
        <x:v>4</x:v>
      </x:c>
      <x:c r="N39" s="2" t="n">
        <x:v>1</x:v>
      </x:c>
      <x:c r="O39" s="2" t="str">
        <x:v>炸區</x:v>
      </x:c>
      <x:c r="P39" s="11" t="str">
        <x:v>12–22炸區</x:v>
      </x:c>
    </x:row>
    <x:row r="40" ht="34" customHeight="1">
      <x:c r="A40" s="12" t="n">
        <x:v>46320</x:v>
      </x:c>
      <x:c r="B40" s="2" t="str">
        <x:v>日</x:v>
      </x:c>
      <x:c r="C40" s="2" t="str">
        <x:v>P05</x:v>
      </x:c>
      <x:c r="D40" s="2" t="str">
        <x:v>工讀</x:v>
      </x:c>
      <x:c r="E40" s="2" t="str">
        <x:v>預排</x:v>
      </x:c>
      <x:c r="F40" s="2" t="str">
        <x:v>整天</x:v>
      </x:c>
      <x:c r="G40" s="15" t="n">
        <x:v>0.5</x:v>
      </x:c>
      <x:c r="H40" s="15" t="n">
        <x:v>0.9166666666666666</x:v>
      </x:c>
      <x:c r="I40" s="15" t="n">
        <x:v>0.6666666666666666</x:v>
      </x:c>
      <x:c r="J40" s="15" t="n">
        <x:v>0.75</x:v>
      </x:c>
      <x:c r="K40" s="14" t="n">
        <x:f>IF(COUNT(I40:J40)=2,ROUND((J40-I40)*24,2),2)</x:f>
        <x:v>2</x:v>
      </x:c>
      <x:c r="L40" s="14" t="n">
        <x:f>IF(COUNT(G40:H40)=2,ROUND((H40-G40)*24-K40,2),0)</x:f>
        <x:v>8</x:v>
      </x:c>
      <x:c r="M40" s="14" t="n">
        <x:f>IF(L40=0,0,IF(AND(K40&gt;0,COUNT(I40:J40)&lt;2),"待現場",IF(K40&gt;0,ROUND(MAX((I40-G40)*24,(H40-J40)*24),2),L40)))</x:f>
        <x:v>4</x:v>
      </x:c>
      <x:c r="N40" s="2" t="n">
        <x:v>1</x:v>
      </x:c>
      <x:c r="O40" s="2" t="str">
        <x:v>控場；炸區</x:v>
      </x:c>
      <x:c r="P40" s="11" t="str">
        <x:v>最新批註午控場、晚炸區，12–22休16–18不變；與P12未同外場。</x:v>
      </x:c>
    </x:row>
    <x:row r="41" ht="34" customHeight="1">
      <x:c r="A41" s="12" t="n">
        <x:v>46314</x:v>
      </x:c>
      <x:c r="B41" s="2" t="str">
        <x:v>一</x:v>
      </x:c>
      <x:c r="C41" s="2" t="str">
        <x:v>P06</x:v>
      </x:c>
      <x:c r="D41" s="2" t="str">
        <x:v>工讀</x:v>
      </x:c>
      <x:c r="E41" s="2" t="str">
        <x:v>X</x:v>
      </x:c>
      <x:c r="F41" s="2" t="str">
        <x:v>—</x:v>
      </x:c>
      <x:c r="G41" s="15"/>
      <x:c r="H41" s="15"/>
      <x:c r="I41" s="15"/>
      <x:c r="J41" s="15"/>
      <x:c r="K41" s="14" t="n">
        <x:f>IF(COUNT(I41:J41)=2,ROUND((J41-I41)*24,2),0)</x:f>
        <x:v>0</x:v>
      </x:c>
      <x:c r="L41" s="14" t="n">
        <x:f>IF(COUNT(G41:H41)=2,ROUND((H41-G41)*24-K41,2),0)</x:f>
        <x:v>0</x:v>
      </x:c>
      <x:c r="M41" s="14" t="n">
        <x:f>IF(L41=0,0,IF(AND(K41&gt;0,COUNT(I41:J41)&lt;2),"待現場",IF(K41&gt;0,ROUND(MAX((I41-G41)*24,(H41-J41)*24),2),L41)))</x:f>
        <x:v>0</x:v>
      </x:c>
      <x:c r="N41" s="2" t="n">
        <x:v>0</x:v>
      </x:c>
      <x:c r="O41" s="2" t="str">
        <x:v>—</x:v>
      </x:c>
      <x:c r="P41" s="11" t="str">
        <x:v>X</x:v>
      </x:c>
    </x:row>
    <x:row r="42" ht="34" customHeight="1">
      <x:c r="A42" s="12" t="n">
        <x:v>46315</x:v>
      </x:c>
      <x:c r="B42" s="2" t="str">
        <x:v>二</x:v>
      </x:c>
      <x:c r="C42" s="2" t="str">
        <x:v>P06</x:v>
      </x:c>
      <x:c r="D42" s="2" t="str">
        <x:v>工讀</x:v>
      </x:c>
      <x:c r="E42" s="2" t="str">
        <x:v>預排</x:v>
      </x:c>
      <x:c r="F42" s="2" t="str">
        <x:v>短班</x:v>
      </x:c>
      <x:c r="G42" s="15" t="n">
        <x:v>0.75</x:v>
      </x:c>
      <x:c r="H42" s="15" t="n">
        <x:v>0.9166666666666666</x:v>
      </x:c>
      <x:c r="I42" s="15"/>
      <x:c r="J42" s="15"/>
      <x:c r="K42" s="14" t="n">
        <x:f>IF(COUNT(I42:J42)=2,ROUND((J42-I42)*24,2),0)</x:f>
        <x:v>0</x:v>
      </x:c>
      <x:c r="L42" s="14" t="n">
        <x:f>IF(COUNT(G42:H42)=2,ROUND((H42-G42)*24-K42,2),0)</x:f>
        <x:v>4</x:v>
      </x:c>
      <x:c r="M42" s="14" t="n">
        <x:f>IF(L42=0,0,IF(AND(K42&gt;0,COUNT(I42:J42)&lt;2),"待現場",IF(K42&gt;0,ROUND(MAX((I42-G42)*24,(H42-J42)*24),2),L42)))</x:f>
        <x:v>4</x:v>
      </x:c>
      <x:c r="N42" s="2" t="n">
        <x:v>0</x:v>
      </x:c>
      <x:c r="O42" s="2" t="str">
        <x:v>料區</x:v>
      </x:c>
      <x:c r="P42" s="11" t="str">
        <x:v>依最新批註指定18–22、料區；休0小時。</x:v>
      </x:c>
    </x:row>
    <x:row r="43" ht="34" customHeight="1">
      <x:c r="A43" s="12" t="n">
        <x:v>46316</x:v>
      </x:c>
      <x:c r="B43" s="2" t="str">
        <x:v>三</x:v>
      </x:c>
      <x:c r="C43" s="2" t="str">
        <x:v>P06</x:v>
      </x:c>
      <x:c r="D43" s="2" t="str">
        <x:v>工讀</x:v>
      </x:c>
      <x:c r="E43" s="2" t="str">
        <x:v>預排</x:v>
      </x:c>
      <x:c r="F43" s="2" t="str">
        <x:v>短班</x:v>
      </x:c>
      <x:c r="G43" s="15" t="n">
        <x:v>0.75</x:v>
      </x:c>
      <x:c r="H43" s="15" t="n">
        <x:v>0.9166666666666666</x:v>
      </x:c>
      <x:c r="I43" s="15"/>
      <x:c r="J43" s="15"/>
      <x:c r="K43" s="14" t="n">
        <x:f>IF(COUNT(I43:J43)=2,ROUND((J43-I43)*24,2),0)</x:f>
        <x:v>0</x:v>
      </x:c>
      <x:c r="L43" s="14" t="n">
        <x:f>IF(COUNT(G43:H43)=2,ROUND((H43-G43)*24-K43,2),0)</x:f>
        <x:v>4</x:v>
      </x:c>
      <x:c r="M43" s="14" t="n">
        <x:f>IF(L43=0,0,IF(AND(K43&gt;0,COUNT(I43:J43)&lt;2),"待現場",IF(K43&gt;0,ROUND(MAX((I43-G43)*24,(H43-J43)*24),2),L43)))</x:f>
        <x:v>4</x:v>
      </x:c>
      <x:c r="N43" s="2" t="n">
        <x:v>0</x:v>
      </x:c>
      <x:c r="O43" s="2" t="str">
        <x:v>料區</x:v>
      </x:c>
      <x:c r="P43" s="11" t="str">
        <x:v>最新批註指定料區；18–22班別不變。</x:v>
      </x:c>
    </x:row>
    <x:row r="44" ht="34" customHeight="1">
      <x:c r="A44" s="12" t="n">
        <x:v>46317</x:v>
      </x:c>
      <x:c r="B44" s="2" t="str">
        <x:v>四</x:v>
      </x:c>
      <x:c r="C44" s="2" t="str">
        <x:v>P06</x:v>
      </x:c>
      <x:c r="D44" s="2" t="str">
        <x:v>工讀</x:v>
      </x:c>
      <x:c r="E44" s="2" t="str">
        <x:v>X</x:v>
      </x:c>
      <x:c r="F44" s="2" t="str">
        <x:v>—</x:v>
      </x:c>
      <x:c r="G44" s="15"/>
      <x:c r="H44" s="15"/>
      <x:c r="I44" s="15"/>
      <x:c r="J44" s="15"/>
      <x:c r="K44" s="14" t="n">
        <x:f>IF(COUNT(I44:J44)=2,ROUND((J44-I44)*24,2),0)</x:f>
        <x:v>0</x:v>
      </x:c>
      <x:c r="L44" s="14" t="n">
        <x:f>IF(COUNT(G44:H44)=2,ROUND((H44-G44)*24-K44,2),0)</x:f>
        <x:v>0</x:v>
      </x:c>
      <x:c r="M44" s="14" t="n">
        <x:f>IF(L44=0,0,IF(AND(K44&gt;0,COUNT(I44:J44)&lt;2),"待現場",IF(K44&gt;0,ROUND(MAX((I44-G44)*24,(H44-J44)*24),2),L44)))</x:f>
        <x:v>0</x:v>
      </x:c>
      <x:c r="N44" s="2" t="n">
        <x:v>0</x:v>
      </x:c>
      <x:c r="O44" s="2" t="str">
        <x:v>—</x:v>
      </x:c>
      <x:c r="P44" s="11" t="str">
        <x:v>X</x:v>
      </x:c>
    </x:row>
    <x:row r="45" ht="34" customHeight="1">
      <x:c r="A45" s="12" t="n">
        <x:v>46318</x:v>
      </x:c>
      <x:c r="B45" s="2" t="str">
        <x:v>五</x:v>
      </x:c>
      <x:c r="C45" s="2" t="str">
        <x:v>P06</x:v>
      </x:c>
      <x:c r="D45" s="2" t="str">
        <x:v>工讀</x:v>
      </x:c>
      <x:c r="E45" s="2" t="str">
        <x:v>預排</x:v>
      </x:c>
      <x:c r="F45" s="2" t="str">
        <x:v>短班</x:v>
      </x:c>
      <x:c r="G45" s="15" t="n">
        <x:v>0.75</x:v>
      </x:c>
      <x:c r="H45" s="15" t="n">
        <x:v>0.9166666666666666</x:v>
      </x:c>
      <x:c r="I45" s="15"/>
      <x:c r="J45" s="15"/>
      <x:c r="K45" s="14" t="n">
        <x:f>IF(COUNT(I45:J45)=2,ROUND((J45-I45)*24,2),0)</x:f>
        <x:v>0</x:v>
      </x:c>
      <x:c r="L45" s="14" t="n">
        <x:f>IF(COUNT(G45:H45)=2,ROUND((H45-G45)*24-K45,2),0)</x:f>
        <x:v>4</x:v>
      </x:c>
      <x:c r="M45" s="14" t="n">
        <x:f>IF(L45=0,0,IF(AND(K45&gt;0,COUNT(I45:J45)&lt;2),"待現場",IF(K45&gt;0,ROUND(MAX((I45-G45)*24,(H45-J45)*24),2),L45)))</x:f>
        <x:v>4</x:v>
      </x:c>
      <x:c r="N45" s="2" t="n">
        <x:v>0</x:v>
      </x:c>
      <x:c r="O45" s="2" t="str">
        <x:v>司爐</x:v>
      </x:c>
      <x:c r="P45" s="11" t="str">
        <x:v>最新批註主崗司爐；18–22不變。</x:v>
      </x:c>
    </x:row>
    <x:row r="46" ht="34" customHeight="1">
      <x:c r="A46" s="12" t="n">
        <x:v>46319</x:v>
      </x:c>
      <x:c r="B46" s="2" t="str">
        <x:v>六</x:v>
      </x:c>
      <x:c r="C46" s="2" t="str">
        <x:v>P06</x:v>
      </x:c>
      <x:c r="D46" s="2" t="str">
        <x:v>工讀</x:v>
      </x:c>
      <x:c r="E46" s="2" t="str">
        <x:v>預排</x:v>
      </x:c>
      <x:c r="F46" s="2" t="str">
        <x:v>整天</x:v>
      </x:c>
      <x:c r="G46" s="15" t="n">
        <x:v>0.4791666666666667</x:v>
      </x:c>
      <x:c r="H46" s="15" t="n">
        <x:v>0.8958333333333334</x:v>
      </x:c>
      <x:c r="I46" s="15"/>
      <x:c r="J46" s="15"/>
      <x:c r="K46" s="14" t="n">
        <x:f>IF(COUNT(I46:J46)=2,ROUND((J46-I46)*24,2),2)</x:f>
        <x:v>2</x:v>
      </x:c>
      <x:c r="L46" s="14" t="n">
        <x:f>IF(COUNT(G46:H46)=2,ROUND((H46-G46)*24-K46,2),0)</x:f>
        <x:v>8</x:v>
      </x:c>
      <x:c r="M46" s="14" t="str">
        <x:f>IF(L46=0,0,IF(AND(K46&gt;0,COUNT(I46:J46)&lt;2),"待現場",IF(K46&gt;0,ROUND(MAX((I46-G46)*24,(H46-J46)*24),2),L46)))</x:f>
        <x:v>待現場</x:v>
      </x:c>
      <x:c r="N46" s="2" t="n">
        <x:v>1</x:v>
      </x:c>
      <x:c r="O46" s="2" t="str">
        <x:v>料區；拍區</x:v>
      </x:c>
      <x:c r="P46" s="11" t="str">
        <x:v>整天；休2h，時點現場安排</x:v>
      </x:c>
    </x:row>
    <x:row r="47" ht="34" customHeight="1">
      <x:c r="A47" s="12" t="n">
        <x:v>46320</x:v>
      </x:c>
      <x:c r="B47" s="2" t="str">
        <x:v>日</x:v>
      </x:c>
      <x:c r="C47" s="2" t="str">
        <x:v>P06</x:v>
      </x:c>
      <x:c r="D47" s="2" t="str">
        <x:v>工讀</x:v>
      </x:c>
      <x:c r="E47" s="2" t="str">
        <x:v>X</x:v>
      </x:c>
      <x:c r="F47" s="2" t="str">
        <x:v>—</x:v>
      </x:c>
      <x:c r="G47" s="15"/>
      <x:c r="H47" s="15"/>
      <x:c r="I47" s="15"/>
      <x:c r="J47" s="15"/>
      <x:c r="K47" s="14" t="n">
        <x:f>IF(COUNT(I47:J47)=2,ROUND((J47-I47)*24,2),0)</x:f>
        <x:v>0</x:v>
      </x:c>
      <x:c r="L47" s="14" t="n">
        <x:f>IF(COUNT(G47:H47)=2,ROUND((H47-G47)*24-K47,2),0)</x:f>
        <x:v>0</x:v>
      </x:c>
      <x:c r="M47" s="14" t="n">
        <x:f>IF(L47=0,0,IF(AND(K47&gt;0,COUNT(I47:J47)&lt;2),"待現場",IF(K47&gt;0,ROUND(MAX((I47-G47)*24,(H47-J47)*24),2),L47)))</x:f>
        <x:v>0</x:v>
      </x:c>
      <x:c r="N47" s="2" t="n">
        <x:v>0</x:v>
      </x:c>
      <x:c r="O47" s="2" t="str">
        <x:v>—</x:v>
      </x:c>
      <x:c r="P47" s="11" t="str">
        <x:v>X</x:v>
      </x:c>
    </x:row>
    <x:row r="48" ht="34" customHeight="1">
      <x:c r="A48" s="12" t="n">
        <x:v>46314</x:v>
      </x:c>
      <x:c r="B48" s="2" t="str">
        <x:v>一</x:v>
      </x:c>
      <x:c r="C48" s="2" t="str">
        <x:v>P07</x:v>
      </x:c>
      <x:c r="D48" s="2" t="str">
        <x:v>工讀</x:v>
      </x:c>
      <x:c r="E48" s="2" t="str">
        <x:v>預排</x:v>
      </x:c>
      <x:c r="F48" s="2" t="str">
        <x:v>整天</x:v>
      </x:c>
      <x:c r="G48" s="15" t="n">
        <x:v>0.4791666666666667</x:v>
      </x:c>
      <x:c r="H48" s="15" t="n">
        <x:v>0.8958333333333334</x:v>
      </x:c>
      <x:c r="I48" s="15" t="n">
        <x:v>0.6458333333333334</x:v>
      </x:c>
      <x:c r="J48" s="15" t="n">
        <x:v>0.7291666666666666</x:v>
      </x:c>
      <x:c r="K48" s="14" t="n">
        <x:f>IF(COUNT(I48:J48)=2,ROUND((J48-I48)*24,2),2)</x:f>
        <x:v>2</x:v>
      </x:c>
      <x:c r="L48" s="14" t="n">
        <x:f>IF(COUNT(G48:H48)=2,ROUND((H48-G48)*24-K48,2),0)</x:f>
        <x:v>8</x:v>
      </x:c>
      <x:c r="M48" s="14" t="n">
        <x:f>IF(L48=0,0,IF(AND(K48&gt;0,COUNT(I48:J48)&lt;2),"待現場",IF(K48&gt;0,ROUND(MAX((I48-G48)*24,(H48-J48)*24),2),L48)))</x:f>
        <x:v>4</x:v>
      </x:c>
      <x:c r="N48" s="2" t="n">
        <x:v>1</x:v>
      </x:c>
      <x:c r="O48" s="2" t="str">
        <x:v>料區</x:v>
      </x:c>
      <x:c r="P48" s="11" t="str">
        <x:v>整天可排</x:v>
      </x:c>
    </x:row>
    <x:row r="49" ht="34" customHeight="1">
      <x:c r="A49" s="12" t="n">
        <x:v>46315</x:v>
      </x:c>
      <x:c r="B49" s="2" t="str">
        <x:v>二</x:v>
      </x:c>
      <x:c r="C49" s="2" t="str">
        <x:v>P07</x:v>
      </x:c>
      <x:c r="D49" s="2" t="str">
        <x:v>工讀</x:v>
      </x:c>
      <x:c r="E49" s="2" t="str">
        <x:v>預排</x:v>
      </x:c>
      <x:c r="F49" s="2" t="str">
        <x:v>短班</x:v>
      </x:c>
      <x:c r="G49" s="15" t="n">
        <x:v>0.75</x:v>
      </x:c>
      <x:c r="H49" s="15" t="n">
        <x:v>0.9166666666666666</x:v>
      </x:c>
      <x:c r="I49" s="15"/>
      <x:c r="J49" s="15"/>
      <x:c r="K49" s="14" t="n">
        <x:f>IF(COUNT(I49:J49)=2,ROUND((J49-I49)*24,2),0)</x:f>
        <x:v>0</x:v>
      </x:c>
      <x:c r="L49" s="14" t="n">
        <x:f>IF(COUNT(G49:H49)=2,ROUND((H49-G49)*24-K49,2),0)</x:f>
        <x:v>4</x:v>
      </x:c>
      <x:c r="M49" s="14" t="n">
        <x:f>IF(L49=0,0,IF(AND(K49&gt;0,COUNT(I49:J49)&lt;2),"待現場",IF(K49&gt;0,ROUND(MAX((I49-G49)*24,(H49-J49)*24),2),L49)))</x:f>
        <x:v>4</x:v>
      </x:c>
      <x:c r="N49" s="2" t="n">
        <x:v>0</x:v>
      </x:c>
      <x:c r="O49" s="2" t="str">
        <x:v>外場</x:v>
      </x:c>
      <x:c r="P49" s="11" t="str">
        <x:v>依最新批註指定18–22、外場；休0小時。</x:v>
      </x:c>
    </x:row>
    <x:row r="50" ht="34" customHeight="1">
      <x:c r="A50" s="12" t="n">
        <x:v>46316</x:v>
      </x:c>
      <x:c r="B50" s="2" t="str">
        <x:v>三</x:v>
      </x:c>
      <x:c r="C50" s="2" t="str">
        <x:v>P07</x:v>
      </x:c>
      <x:c r="D50" s="2" t="str">
        <x:v>工讀</x:v>
      </x:c>
      <x:c r="E50" s="2" t="str">
        <x:v>休</x:v>
      </x:c>
      <x:c r="F50" s="2" t="str">
        <x:v>—</x:v>
      </x:c>
      <x:c r="G50" s="15"/>
      <x:c r="H50" s="15"/>
      <x:c r="I50" s="15"/>
      <x:c r="J50" s="15"/>
      <x:c r="K50" s="14" t="n">
        <x:f>IF(COUNT(I50:J50)=2,ROUND((J50-I50)*24,2),0)</x:f>
        <x:v>0</x:v>
      </x:c>
      <x:c r="L50" s="14" t="n">
        <x:f>IF(COUNT(G50:H50)=2,ROUND((H50-G50)*24-K50,2),0)</x:f>
        <x:v>0</x:v>
      </x:c>
      <x:c r="M50" s="14" t="n">
        <x:f>IF(L50=0,0,IF(AND(K50&gt;0,COUNT(I50:J50)&lt;2),"待現場",IF(K50&gt;0,ROUND(MAX((I50-G50)*24,(H50-J50)*24),2),L50)))</x:f>
        <x:v>0</x:v>
      </x:c>
      <x:c r="N50" s="2" t="n">
        <x:v>0</x:v>
      </x:c>
      <x:c r="O50" s="2" t="str">
        <x:v>—</x:v>
      </x:c>
      <x:c r="P50" s="11" t="str">
        <x:v>整天可排</x:v>
      </x:c>
    </x:row>
    <x:row r="51" ht="34" customHeight="1">
      <x:c r="A51" s="12" t="n">
        <x:v>46317</x:v>
      </x:c>
      <x:c r="B51" s="2" t="str">
        <x:v>四</x:v>
      </x:c>
      <x:c r="C51" s="2" t="str">
        <x:v>P07</x:v>
      </x:c>
      <x:c r="D51" s="2" t="str">
        <x:v>工讀</x:v>
      </x:c>
      <x:c r="E51" s="2" t="str">
        <x:v>休</x:v>
      </x:c>
      <x:c r="F51" s="2" t="str">
        <x:v>—</x:v>
      </x:c>
      <x:c r="G51" s="15"/>
      <x:c r="H51" s="15"/>
      <x:c r="I51" s="15"/>
      <x:c r="J51" s="15"/>
      <x:c r="K51" s="14" t="n">
        <x:f>0</x:f>
        <x:v>0</x:v>
      </x:c>
      <x:c r="L51" s="14" t="n">
        <x:f>IF(COUNT(G51:H51)=2,ROUND((H51-G51)*24-K51,2),0)</x:f>
        <x:v>0</x:v>
      </x:c>
      <x:c r="M51" s="14" t="n">
        <x:f>IF(L51=0,0,IF(AND(K51&gt;0,COUNT(I51:J51)&lt;2),"待現場",IF(K51&gt;0,ROUND(MAX((I51-G51)*24,(H51-J51)*24),2),L51)))</x:f>
        <x:v>0</x:v>
      </x:c>
      <x:c r="N51" s="2" t="n">
        <x:v>0</x:v>
      </x:c>
      <x:c r="O51" s="2" t="str">
        <x:v>—</x:v>
      </x:c>
      <x:c r="P51" s="11" t="str">
        <x:v>依最新批註改休。</x:v>
      </x:c>
    </x:row>
    <x:row r="52" ht="34" customHeight="1">
      <x:c r="A52" s="12" t="n">
        <x:v>46318</x:v>
      </x:c>
      <x:c r="B52" s="2" t="str">
        <x:v>五</x:v>
      </x:c>
      <x:c r="C52" s="2" t="str">
        <x:v>P07</x:v>
      </x:c>
      <x:c r="D52" s="2" t="str">
        <x:v>工讀</x:v>
      </x:c>
      <x:c r="E52" s="2" t="str">
        <x:v>預排</x:v>
      </x:c>
      <x:c r="F52" s="2" t="str">
        <x:v>短班</x:v>
      </x:c>
      <x:c r="G52" s="15" t="n">
        <x:v>0.7083333333333334</x:v>
      </x:c>
      <x:c r="H52" s="15" t="n">
        <x:v>0.8958333333333334</x:v>
      </x:c>
      <x:c r="I52" s="15"/>
      <x:c r="J52" s="15"/>
      <x:c r="K52" s="14" t="n">
        <x:f>IF(COUNT(I52:J52)=2,ROUND((J52-I52)*24,2),0.5)</x:f>
        <x:v>0.5</x:v>
      </x:c>
      <x:c r="L52" s="14" t="n">
        <x:f>IF(COUNT(G52:H52)=2,ROUND((H52-G52)*24-K52,2),0)</x:f>
        <x:v>4</x:v>
      </x:c>
      <x:c r="M52" s="14" t="str">
        <x:f>IF(L52=0,0,IF(AND(K52&gt;0,COUNT(I52:J52)&lt;2),"待現場",IF(K52&gt;0,ROUND(MAX((I52-G52)*24,(H52-J52)*24),2),L52)))</x:f>
        <x:v>待現場</x:v>
      </x:c>
      <x:c r="N52" s="2" t="n">
        <x:v>0</x:v>
      </x:c>
      <x:c r="O52" s="2" t="str">
        <x:v>料區</x:v>
      </x:c>
      <x:c r="P52" s="11" t="str">
        <x:v>整天可排；休0.5h，時點現場安排</x:v>
      </x:c>
    </x:row>
    <x:row r="53" ht="34" customHeight="1">
      <x:c r="A53" s="12" t="n">
        <x:v>46319</x:v>
      </x:c>
      <x:c r="B53" s="2" t="str">
        <x:v>六</x:v>
      </x:c>
      <x:c r="C53" s="2" t="str">
        <x:v>P07</x:v>
      </x:c>
      <x:c r="D53" s="2" t="str">
        <x:v>工讀</x:v>
      </x:c>
      <x:c r="E53" s="2" t="str">
        <x:v>預排</x:v>
      </x:c>
      <x:c r="F53" s="2" t="str">
        <x:v>短班</x:v>
      </x:c>
      <x:c r="G53" s="15" t="n">
        <x:v>0.7083333333333334</x:v>
      </x:c>
      <x:c r="H53" s="15" t="n">
        <x:v>0.8958333333333334</x:v>
      </x:c>
      <x:c r="I53" s="15"/>
      <x:c r="J53" s="15"/>
      <x:c r="K53" s="14" t="n">
        <x:f>IF(COUNT(I53:J53)=2,ROUND((J53-I53)*24,2),0.5)</x:f>
        <x:v>0.5</x:v>
      </x:c>
      <x:c r="L53" s="14" t="n">
        <x:f>IF(COUNT(G53:H53)=2,ROUND((H53-G53)*24-K53,2),0)</x:f>
        <x:v>4</x:v>
      </x:c>
      <x:c r="M53" s="14" t="str">
        <x:f>IF(L53=0,0,IF(AND(K53&gt;0,COUNT(I53:J53)&lt;2),"待現場",IF(K53&gt;0,ROUND(MAX((I53-G53)*24,(H53-J53)*24),2),L53)))</x:f>
        <x:v>待現場</x:v>
      </x:c>
      <x:c r="N53" s="2" t="n">
        <x:v>0</x:v>
      </x:c>
      <x:c r="O53" s="2" t="str">
        <x:v>料區</x:v>
      </x:c>
      <x:c r="P53" s="11" t="str">
        <x:v>整天可排；休0.5h，時點現場安排</x:v>
      </x:c>
    </x:row>
    <x:row r="54" ht="34" customHeight="1">
      <x:c r="A54" s="12" t="n">
        <x:v>46320</x:v>
      </x:c>
      <x:c r="B54" s="2" t="str">
        <x:v>日</x:v>
      </x:c>
      <x:c r="C54" s="2" t="str">
        <x:v>P07</x:v>
      </x:c>
      <x:c r="D54" s="2" t="str">
        <x:v>工讀</x:v>
      </x:c>
      <x:c r="E54" s="2" t="str">
        <x:v>預排</x:v>
      </x:c>
      <x:c r="F54" s="2" t="str">
        <x:v>整天</x:v>
      </x:c>
      <x:c r="G54" s="15" t="n">
        <x:v>0.4791666666666667</x:v>
      </x:c>
      <x:c r="H54" s="15" t="n">
        <x:v>0.8958333333333334</x:v>
      </x:c>
      <x:c r="I54" s="15"/>
      <x:c r="J54" s="15"/>
      <x:c r="K54" s="14" t="n">
        <x:f>IF(COUNT(I54:J54)=2,ROUND((J54-I54)*24,2),2)</x:f>
        <x:v>2</x:v>
      </x:c>
      <x:c r="L54" s="14" t="n">
        <x:f>IF(COUNT(G54:H54)=2,ROUND((H54-G54)*24-K54,2),0)</x:f>
        <x:v>8</x:v>
      </x:c>
      <x:c r="M54" s="14" t="str">
        <x:f>IF(L54=0,0,IF(AND(K54&gt;0,COUNT(I54:J54)&lt;2),"待現場",IF(K54&gt;0,ROUND(MAX((I54-G54)*24,(H54-J54)*24),2),L54)))</x:f>
        <x:v>待現場</x:v>
      </x:c>
      <x:c r="N54" s="2" t="n">
        <x:v>1</x:v>
      </x:c>
      <x:c r="O54" s="2" t="str">
        <x:v>外場</x:v>
      </x:c>
      <x:c r="P54" s="11" t="str">
        <x:v>排班者上一則指定外場，保留；原技能未列外場，待核。休2h時點現場安排。</x:v>
      </x:c>
    </x:row>
    <x:row r="55" ht="34" customHeight="1">
      <x:c r="A55" s="12" t="n">
        <x:v>46314</x:v>
      </x:c>
      <x:c r="B55" s="2" t="str">
        <x:v>一</x:v>
      </x:c>
      <x:c r="C55" s="2" t="str">
        <x:v>P08</x:v>
      </x:c>
      <x:c r="D55" s="2" t="str">
        <x:v>工讀</x:v>
      </x:c>
      <x:c r="E55" s="2" t="str">
        <x:v>預排</x:v>
      </x:c>
      <x:c r="F55" s="2" t="str">
        <x:v>短班</x:v>
      </x:c>
      <x:c r="G55" s="15" t="n">
        <x:v>0.7083333333333334</x:v>
      </x:c>
      <x:c r="H55" s="15" t="n">
        <x:v>0.8958333333333334</x:v>
      </x:c>
      <x:c r="I55" s="15"/>
      <x:c r="J55" s="15"/>
      <x:c r="K55" s="14" t="n">
        <x:f>IF(COUNT(I55:J55)=2,ROUND((J55-I55)*24,2),0.5)</x:f>
        <x:v>0.5</x:v>
      </x:c>
      <x:c r="L55" s="14" t="n">
        <x:f>IF(COUNT(G55:H55)=2,ROUND((H55-G55)*24-K55,2),0)</x:f>
        <x:v>4</x:v>
      </x:c>
      <x:c r="M55" s="14" t="str">
        <x:f>IF(L55=0,0,IF(AND(K55&gt;0,COUNT(I55:J55)&lt;2),"待現場",IF(K55&gt;0,ROUND(MAX((I55-G55)*24,(H55-J55)*24),2),L55)))</x:f>
        <x:v>待現場</x:v>
      </x:c>
      <x:c r="N55" s="2" t="n">
        <x:v>0</x:v>
      </x:c>
      <x:c r="O55" s="2" t="str">
        <x:v>炸區</x:v>
      </x:c>
      <x:c r="P55" s="11" t="str">
        <x:v>17–21:30；休0.5h，時點現場安排</x:v>
      </x:c>
    </x:row>
    <x:row r="56" ht="34" customHeight="1">
      <x:c r="A56" s="12" t="n">
        <x:v>46315</x:v>
      </x:c>
      <x:c r="B56" s="2" t="str">
        <x:v>二</x:v>
      </x:c>
      <x:c r="C56" s="2" t="str">
        <x:v>P08</x:v>
      </x:c>
      <x:c r="D56" s="2" t="str">
        <x:v>工讀</x:v>
      </x:c>
      <x:c r="E56" s="2" t="str">
        <x:v>休</x:v>
      </x:c>
      <x:c r="F56" s="2" t="str">
        <x:v>—</x:v>
      </x:c>
      <x:c r="G56" s="15"/>
      <x:c r="H56" s="15"/>
      <x:c r="I56" s="15"/>
      <x:c r="J56" s="15"/>
      <x:c r="K56" s="14" t="n">
        <x:f>0</x:f>
        <x:v>0</x:v>
      </x:c>
      <x:c r="L56" s="14" t="n">
        <x:f>IF(COUNT(G56:H56)=2,ROUND((H56-G56)*24-K56,2),0)</x:f>
        <x:v>0</x:v>
      </x:c>
      <x:c r="M56" s="14" t="n">
        <x:f>IF(L56=0,0,IF(AND(K56&gt;0,COUNT(I56:J56)&lt;2),"待現場",IF(K56&gt;0,ROUND(MAX((I56-G56)*24,(H56-J56)*24),2),L56)))</x:f>
        <x:v>0</x:v>
      </x:c>
      <x:c r="N56" s="2" t="n">
        <x:v>0</x:v>
      </x:c>
      <x:c r="O56" s="2" t="str">
        <x:v>—</x:v>
      </x:c>
      <x:c r="P56" s="11" t="str">
        <x:v>依最新批註改休。</x:v>
      </x:c>
    </x:row>
    <x:row r="57" ht="34" customHeight="1">
      <x:c r="A57" s="12" t="n">
        <x:v>46316</x:v>
      </x:c>
      <x:c r="B57" s="2" t="str">
        <x:v>三</x:v>
      </x:c>
      <x:c r="C57" s="2" t="str">
        <x:v>P08</x:v>
      </x:c>
      <x:c r="D57" s="2" t="str">
        <x:v>工讀</x:v>
      </x:c>
      <x:c r="E57" s="2" t="str">
        <x:v>X</x:v>
      </x:c>
      <x:c r="F57" s="2" t="str">
        <x:v>—</x:v>
      </x:c>
      <x:c r="G57" s="15"/>
      <x:c r="H57" s="15"/>
      <x:c r="I57" s="15"/>
      <x:c r="J57" s="15"/>
      <x:c r="K57" s="14" t="n">
        <x:f>IF(COUNT(I57:J57)=2,ROUND((J57-I57)*24,2),0)</x:f>
        <x:v>0</x:v>
      </x:c>
      <x:c r="L57" s="14" t="n">
        <x:f>IF(COUNT(G57:H57)=2,ROUND((H57-G57)*24-K57,2),0)</x:f>
        <x:v>0</x:v>
      </x:c>
      <x:c r="M57" s="14" t="n">
        <x:f>IF(L57=0,0,IF(AND(K57&gt;0,COUNT(I57:J57)&lt;2),"待現場",IF(K57&gt;0,ROUND(MAX((I57-G57)*24,(H57-J57)*24),2),L57)))</x:f>
        <x:v>0</x:v>
      </x:c>
      <x:c r="N57" s="2" t="n">
        <x:v>0</x:v>
      </x:c>
      <x:c r="O57" s="2" t="str">
        <x:v>—</x:v>
      </x:c>
      <x:c r="P57" s="11" t="str">
        <x:v>X</x:v>
      </x:c>
    </x:row>
    <x:row r="58" ht="34" customHeight="1">
      <x:c r="A58" s="12" t="n">
        <x:v>46317</x:v>
      </x:c>
      <x:c r="B58" s="2" t="str">
        <x:v>四</x:v>
      </x:c>
      <x:c r="C58" s="2" t="str">
        <x:v>P08</x:v>
      </x:c>
      <x:c r="D58" s="2" t="str">
        <x:v>工讀</x:v>
      </x:c>
      <x:c r="E58" s="2" t="str">
        <x:v>預排</x:v>
      </x:c>
      <x:c r="F58" s="2" t="str">
        <x:v>整天</x:v>
      </x:c>
      <x:c r="G58" s="15" t="n">
        <x:v>0.4791666666666667</x:v>
      </x:c>
      <x:c r="H58" s="15" t="n">
        <x:v>0.8958333333333334</x:v>
      </x:c>
      <x:c r="I58" s="15" t="n">
        <x:v>0.6458333333333334</x:v>
      </x:c>
      <x:c r="J58" s="15" t="n">
        <x:v>0.7291666666666666</x:v>
      </x:c>
      <x:c r="K58" s="14" t="n">
        <x:f>IF(COUNT(I58:J58)=2,ROUND((J58-I58)*24,2),2)</x:f>
        <x:v>2</x:v>
      </x:c>
      <x:c r="L58" s="14" t="n">
        <x:f>IF(COUNT(G58:H58)=2,ROUND((H58-G58)*24-K58,2),0)</x:f>
        <x:v>8</x:v>
      </x:c>
      <x:c r="M58" s="14" t="n">
        <x:f>IF(L58=0,0,IF(AND(K58&gt;0,COUNT(I58:J58)&lt;2),"待現場",IF(K58&gt;0,ROUND(MAX((I58-G58)*24,(H58-J58)*24),2),L58)))</x:f>
        <x:v>4</x:v>
      </x:c>
      <x:c r="N58" s="2" t="n">
        <x:v>1</x:v>
      </x:c>
      <x:c r="O58" s="2" t="str">
        <x:v>司爐</x:v>
      </x:c>
      <x:c r="P58" s="11" t="str">
        <x:v>整天</x:v>
      </x:c>
    </x:row>
    <x:row r="59" ht="34" customHeight="1">
      <x:c r="A59" s="12" t="n">
        <x:v>46318</x:v>
      </x:c>
      <x:c r="B59" s="2" t="str">
        <x:v>五</x:v>
      </x:c>
      <x:c r="C59" s="2" t="str">
        <x:v>P08</x:v>
      </x:c>
      <x:c r="D59" s="2" t="str">
        <x:v>工讀</x:v>
      </x:c>
      <x:c r="E59" s="2" t="str">
        <x:v>預排</x:v>
      </x:c>
      <x:c r="F59" s="2" t="str">
        <x:v>中班</x:v>
      </x:c>
      <x:c r="G59" s="15" t="n">
        <x:v>0.5</x:v>
      </x:c>
      <x:c r="H59" s="15" t="n">
        <x:v>0.75</x:v>
      </x:c>
      <x:c r="I59" s="15"/>
      <x:c r="J59" s="15"/>
      <x:c r="K59" s="14" t="n">
        <x:f>IF(COUNT(I59:J59)=2,ROUND((J59-I59)*24,2),0.5)</x:f>
        <x:v>0.5</x:v>
      </x:c>
      <x:c r="L59" s="14" t="n">
        <x:f>IF(COUNT(G59:H59)=2,ROUND((H59-G59)*24-K59,2),0)</x:f>
        <x:v>5.5</x:v>
      </x:c>
      <x:c r="M59" s="14" t="str">
        <x:f>IF(L59=0,0,IF(AND(K59&gt;0,COUNT(I59:J59)&lt;2),"待現場",IF(K59&gt;0,ROUND(MAX((I59-G59)*24,(H59-J59)*24),2),L59)))</x:f>
        <x:v>待現場</x:v>
      </x:c>
      <x:c r="N59" s="2" t="n">
        <x:v>0</x:v>
      </x:c>
      <x:c r="O59" s="2" t="str">
        <x:v>料區</x:v>
      </x:c>
      <x:c r="P59" s="11" t="str">
        <x:v>依最新批註指定12–18、料區；休0.5小時，時點現場安排。</x:v>
      </x:c>
    </x:row>
    <x:row r="60" ht="34" customHeight="1">
      <x:c r="A60" s="12" t="n">
        <x:v>46319</x:v>
      </x:c>
      <x:c r="B60" s="2" t="str">
        <x:v>六</x:v>
      </x:c>
      <x:c r="C60" s="2" t="str">
        <x:v>P08</x:v>
      </x:c>
      <x:c r="D60" s="2" t="str">
        <x:v>工讀</x:v>
      </x:c>
      <x:c r="E60" s="2" t="str">
        <x:v>休</x:v>
      </x:c>
      <x:c r="F60" s="2" t="str">
        <x:v>—</x:v>
      </x:c>
      <x:c r="G60" s="15"/>
      <x:c r="H60" s="15"/>
      <x:c r="I60" s="15"/>
      <x:c r="J60" s="15"/>
      <x:c r="K60" s="14" t="n">
        <x:f>IF(COUNT(I60:J60)=2,ROUND((J60-I60)*24,2),0)</x:f>
        <x:v>0</x:v>
      </x:c>
      <x:c r="L60" s="14" t="n">
        <x:f>IF(COUNT(G60:H60)=2,ROUND((H60-G60)*24-K60,2),0)</x:f>
        <x:v>0</x:v>
      </x:c>
      <x:c r="M60" s="14" t="n">
        <x:f>IF(L60=0,0,IF(AND(K60&gt;0,COUNT(I60:J60)&lt;2),"待現場",IF(K60&gt;0,ROUND(MAX((I60-G60)*24,(H60-J60)*24),2),L60)))</x:f>
        <x:v>0</x:v>
      </x:c>
      <x:c r="N60" s="2" t="n">
        <x:v>0</x:v>
      </x:c>
      <x:c r="O60" s="2" t="str">
        <x:v>—</x:v>
      </x:c>
      <x:c r="P60" s="11" t="str">
        <x:v>整天</x:v>
      </x:c>
    </x:row>
    <x:row r="61" ht="34" customHeight="1">
      <x:c r="A61" s="12" t="n">
        <x:v>46320</x:v>
      </x:c>
      <x:c r="B61" s="2" t="str">
        <x:v>日</x:v>
      </x:c>
      <x:c r="C61" s="2" t="str">
        <x:v>P08</x:v>
      </x:c>
      <x:c r="D61" s="2" t="str">
        <x:v>工讀</x:v>
      </x:c>
      <x:c r="E61" s="2" t="str">
        <x:v>X</x:v>
      </x:c>
      <x:c r="F61" s="2" t="str">
        <x:v>—</x:v>
      </x:c>
      <x:c r="G61" s="15"/>
      <x:c r="H61" s="15"/>
      <x:c r="I61" s="15"/>
      <x:c r="J61" s="15"/>
      <x:c r="K61" s="14" t="n">
        <x:f>IF(COUNT(I61:J61)=2,ROUND((J61-I61)*24,2),0)</x:f>
        <x:v>0</x:v>
      </x:c>
      <x:c r="L61" s="14" t="n">
        <x:f>IF(COUNT(G61:H61)=2,ROUND((H61-G61)*24-K61,2),0)</x:f>
        <x:v>0</x:v>
      </x:c>
      <x:c r="M61" s="14" t="n">
        <x:f>IF(L61=0,0,IF(AND(K61&gt;0,COUNT(I61:J61)&lt;2),"待現場",IF(K61&gt;0,ROUND(MAX((I61-G61)*24,(H61-J61)*24),2),L61)))</x:f>
        <x:v>0</x:v>
      </x:c>
      <x:c r="N61" s="2" t="n">
        <x:v>0</x:v>
      </x:c>
      <x:c r="O61" s="2" t="str">
        <x:v>—</x:v>
      </x:c>
      <x:c r="P61" s="11" t="str">
        <x:v>X</x:v>
      </x:c>
    </x:row>
    <x:row r="62" ht="34" customHeight="1">
      <x:c r="A62" s="12" t="n">
        <x:v>46314</x:v>
      </x:c>
      <x:c r="B62" s="2" t="str">
        <x:v>一</x:v>
      </x:c>
      <x:c r="C62" s="2" t="str">
        <x:v>P09</x:v>
      </x:c>
      <x:c r="D62" s="2" t="str">
        <x:v>工讀</x:v>
      </x:c>
      <x:c r="E62" s="2" t="str">
        <x:v>預排</x:v>
      </x:c>
      <x:c r="F62" s="2" t="str">
        <x:v>短班</x:v>
      </x:c>
      <x:c r="G62" s="15" t="n">
        <x:v>0.7083333333333334</x:v>
      </x:c>
      <x:c r="H62" s="15" t="n">
        <x:v>0.8958333333333334</x:v>
      </x:c>
      <x:c r="I62" s="15"/>
      <x:c r="J62" s="15"/>
      <x:c r="K62" s="14" t="n">
        <x:f>IF(COUNT(I62:J62)=2,ROUND((J62-I62)*24,2),0.5)</x:f>
        <x:v>0.5</x:v>
      </x:c>
      <x:c r="L62" s="14" t="n">
        <x:f>IF(COUNT(G62:H62)=2,ROUND((H62-G62)*24-K62,2),0)</x:f>
        <x:v>4</x:v>
      </x:c>
      <x:c r="M62" s="14" t="str">
        <x:f>IF(L62=0,0,IF(AND(K62&gt;0,COUNT(I62:J62)&lt;2),"待現場",IF(K62&gt;0,ROUND(MAX((I62-G62)*24,(H62-J62)*24),2),L62)))</x:f>
        <x:v>待現場</x:v>
      </x:c>
      <x:c r="N62" s="2" t="n">
        <x:v>0</x:v>
      </x:c>
      <x:c r="O62" s="2" t="str">
        <x:v>司爐</x:v>
      </x:c>
      <x:c r="P62" s="11" t="str">
        <x:v>整天可排；休0.5h，時點現場安排</x:v>
      </x:c>
    </x:row>
    <x:row r="63" ht="34" customHeight="1">
      <x:c r="A63" s="12" t="n">
        <x:v>46315</x:v>
      </x:c>
      <x:c r="B63" s="2" t="str">
        <x:v>二</x:v>
      </x:c>
      <x:c r="C63" s="2" t="str">
        <x:v>P09</x:v>
      </x:c>
      <x:c r="D63" s="2" t="str">
        <x:v>工讀</x:v>
      </x:c>
      <x:c r="E63" s="2" t="str">
        <x:v>預排</x:v>
      </x:c>
      <x:c r="F63" s="2" t="str">
        <x:v>整天</x:v>
      </x:c>
      <x:c r="G63" s="15" t="n">
        <x:v>0.4791666666666667</x:v>
      </x:c>
      <x:c r="H63" s="15" t="n">
        <x:v>0.8958333333333334</x:v>
      </x:c>
      <x:c r="I63" s="15" t="n">
        <x:v>0.6458333333333334</x:v>
      </x:c>
      <x:c r="J63" s="15" t="n">
        <x:v>0.7291666666666666</x:v>
      </x:c>
      <x:c r="K63" s="14" t="n">
        <x:f>IF(COUNT(I63:J63)=2,ROUND((J63-I63)*24,2),2)</x:f>
        <x:v>2</x:v>
      </x:c>
      <x:c r="L63" s="14" t="n">
        <x:f>IF(COUNT(G63:H63)=2,ROUND((H63-G63)*24-K63,2),0)</x:f>
        <x:v>8</x:v>
      </x:c>
      <x:c r="M63" s="14" t="n">
        <x:f>IF(L63=0,0,IF(AND(K63&gt;0,COUNT(I63:J63)&lt;2),"待現場",IF(K63&gt;0,ROUND(MAX((I63-G63)*24,(H63-J63)*24),2),L63)))</x:f>
        <x:v>4</x:v>
      </x:c>
      <x:c r="N63" s="2" t="n">
        <x:v>1</x:v>
      </x:c>
      <x:c r="O63" s="2" t="str">
        <x:v>外場；司爐</x:v>
      </x:c>
      <x:c r="P63" s="11" t="str">
        <x:v>最新批註「外場；」按午餐外場、晚餐保留原司爐處理；休2h時點依原安排。</x:v>
      </x:c>
    </x:row>
    <x:row r="64" ht="34" customHeight="1">
      <x:c r="A64" s="12" t="n">
        <x:v>46316</x:v>
      </x:c>
      <x:c r="B64" s="2" t="str">
        <x:v>三</x:v>
      </x:c>
      <x:c r="C64" s="2" t="str">
        <x:v>P09</x:v>
      </x:c>
      <x:c r="D64" s="2" t="str">
        <x:v>工讀</x:v>
      </x:c>
      <x:c r="E64" s="2" t="str">
        <x:v>休</x:v>
      </x:c>
      <x:c r="F64" s="2" t="str">
        <x:v>—</x:v>
      </x:c>
      <x:c r="G64" s="15"/>
      <x:c r="H64" s="15"/>
      <x:c r="I64" s="15"/>
      <x:c r="J64" s="15"/>
      <x:c r="K64" s="14" t="n">
        <x:f>IF(COUNT(I64:J64)=2,ROUND((J64-I64)*24,2),0)</x:f>
        <x:v>0</x:v>
      </x:c>
      <x:c r="L64" s="14" t="n">
        <x:f>IF(COUNT(G64:H64)=2,ROUND((H64-G64)*24-K64,2),0)</x:f>
        <x:v>0</x:v>
      </x:c>
      <x:c r="M64" s="14" t="n">
        <x:f>IF(L64=0,0,IF(AND(K64&gt;0,COUNT(I64:J64)&lt;2),"待現場",IF(K64&gt;0,ROUND(MAX((I64-G64)*24,(H64-J64)*24),2),L64)))</x:f>
        <x:v>0</x:v>
      </x:c>
      <x:c r="N64" s="2" t="n">
        <x:v>0</x:v>
      </x:c>
      <x:c r="O64" s="2" t="str">
        <x:v>—</x:v>
      </x:c>
      <x:c r="P64" s="11" t="str">
        <x:v>整天可排</x:v>
      </x:c>
    </x:row>
    <x:row r="65" ht="34" customHeight="1">
      <x:c r="A65" s="12" t="n">
        <x:v>46317</x:v>
      </x:c>
      <x:c r="B65" s="2" t="str">
        <x:v>四</x:v>
      </x:c>
      <x:c r="C65" s="2" t="str">
        <x:v>P09</x:v>
      </x:c>
      <x:c r="D65" s="2" t="str">
        <x:v>工讀</x:v>
      </x:c>
      <x:c r="E65" s="2" t="str">
        <x:v>預排</x:v>
      </x:c>
      <x:c r="F65" s="2" t="str">
        <x:v>短班</x:v>
      </x:c>
      <x:c r="G65" s="15" t="n">
        <x:v>0.7083333333333334</x:v>
      </x:c>
      <x:c r="H65" s="15" t="n">
        <x:v>0.8958333333333334</x:v>
      </x:c>
      <x:c r="I65" s="15"/>
      <x:c r="J65" s="15"/>
      <x:c r="K65" s="14" t="n">
        <x:f>IF(COUNT(I65:J65)=2,ROUND((J65-I65)*24,2),0.5)</x:f>
        <x:v>0.5</x:v>
      </x:c>
      <x:c r="L65" s="14" t="n">
        <x:f>IF(COUNT(G65:H65)=2,ROUND((H65-G65)*24-K65,2),0)</x:f>
        <x:v>4</x:v>
      </x:c>
      <x:c r="M65" s="14" t="str">
        <x:f>IF(L65=0,0,IF(AND(K65&gt;0,COUNT(I65:J65)&lt;2),"待現場",IF(K65&gt;0,ROUND(MAX((I65-G65)*24,(H65-J65)*24),2),L65)))</x:f>
        <x:v>待現場</x:v>
      </x:c>
      <x:c r="N65" s="2" t="n">
        <x:v>0</x:v>
      </x:c>
      <x:c r="O65" s="2" t="str">
        <x:v>炸區</x:v>
      </x:c>
      <x:c r="P65" s="11" t="str">
        <x:v>依最新批註指定17–21.5、炸區；休0.5小時，時點現場安排。</x:v>
      </x:c>
    </x:row>
    <x:row r="66" ht="34" customHeight="1">
      <x:c r="A66" s="12" t="n">
        <x:v>46318</x:v>
      </x:c>
      <x:c r="B66" s="2" t="str">
        <x:v>五</x:v>
      </x:c>
      <x:c r="C66" s="2" t="str">
        <x:v>P09</x:v>
      </x:c>
      <x:c r="D66" s="2" t="str">
        <x:v>工讀</x:v>
      </x:c>
      <x:c r="E66" s="2" t="str">
        <x:v>休</x:v>
      </x:c>
      <x:c r="F66" s="2" t="str">
        <x:v>—</x:v>
      </x:c>
      <x:c r="G66" s="15"/>
      <x:c r="H66" s="15"/>
      <x:c r="I66" s="15"/>
      <x:c r="J66" s="15"/>
      <x:c r="K66" s="14" t="n">
        <x:f>IF(COUNT(I66:J66)=2,ROUND((J66-I66)*24,2),0)</x:f>
        <x:v>0</x:v>
      </x:c>
      <x:c r="L66" s="14" t="n">
        <x:f>IF(COUNT(G66:H66)=2,ROUND((H66-G66)*24-K66,2),0)</x:f>
        <x:v>0</x:v>
      </x:c>
      <x:c r="M66" s="14" t="n">
        <x:f>IF(L66=0,0,IF(AND(K66&gt;0,COUNT(I66:J66)&lt;2),"待現場",IF(K66&gt;0,ROUND(MAX((I66-G66)*24,(H66-J66)*24),2),L66)))</x:f>
        <x:v>0</x:v>
      </x:c>
      <x:c r="N66" s="2" t="n">
        <x:v>0</x:v>
      </x:c>
      <x:c r="O66" s="2" t="str">
        <x:v>—</x:v>
      </x:c>
      <x:c r="P66" s="11" t="str">
        <x:v>整天可排</x:v>
      </x:c>
    </x:row>
    <x:row r="67" ht="34" customHeight="1">
      <x:c r="A67" s="12" t="n">
        <x:v>46319</x:v>
      </x:c>
      <x:c r="B67" s="2" t="str">
        <x:v>六</x:v>
      </x:c>
      <x:c r="C67" s="2" t="str">
        <x:v>P09</x:v>
      </x:c>
      <x:c r="D67" s="2" t="str">
        <x:v>工讀</x:v>
      </x:c>
      <x:c r="E67" s="2" t="str">
        <x:v>預排</x:v>
      </x:c>
      <x:c r="F67" s="2" t="str">
        <x:v>整天</x:v>
      </x:c>
      <x:c r="G67" s="15" t="n">
        <x:v>0.4583333333333333</x:v>
      </x:c>
      <x:c r="H67" s="15" t="n">
        <x:v>0.875</x:v>
      </x:c>
      <x:c r="I67" s="15" t="n">
        <x:v>0.625</x:v>
      </x:c>
      <x:c r="J67" s="15" t="n">
        <x:v>0.7083333333333334</x:v>
      </x:c>
      <x:c r="K67" s="14" t="n">
        <x:f>IF(COUNT(I67:J67)=2,ROUND((J67-I67)*24,2),2)</x:f>
        <x:v>2</x:v>
      </x:c>
      <x:c r="L67" s="14" t="n">
        <x:f>IF(COUNT(G67:H67)=2,ROUND((H67-G67)*24-K67,2),0)</x:f>
        <x:v>8</x:v>
      </x:c>
      <x:c r="M67" s="14" t="n">
        <x:f>IF(L67=0,0,IF(AND(K67&gt;0,COUNT(I67:J67)&lt;2),"待現場",IF(K67&gt;0,ROUND(MAX((I67-G67)*24,(H67-J67)*24),2),L67)))</x:f>
        <x:v>4</x:v>
      </x:c>
      <x:c r="N67" s="2" t="n">
        <x:v>1</x:v>
      </x:c>
      <x:c r="O67" s="2" t="str">
        <x:v>拍區；司爐</x:v>
      </x:c>
      <x:c r="P67" s="11" t="str">
        <x:v>整天可排</x:v>
      </x:c>
    </x:row>
    <x:row r="68" ht="34" customHeight="1">
      <x:c r="A68" s="12" t="n">
        <x:v>46320</x:v>
      </x:c>
      <x:c r="B68" s="2" t="str">
        <x:v>日</x:v>
      </x:c>
      <x:c r="C68" s="2" t="str">
        <x:v>P09</x:v>
      </x:c>
      <x:c r="D68" s="2" t="str">
        <x:v>工讀</x:v>
      </x:c>
      <x:c r="E68" s="2" t="str">
        <x:v>預排</x:v>
      </x:c>
      <x:c r="F68" s="2" t="str">
        <x:v>整天</x:v>
      </x:c>
      <x:c r="G68" s="15" t="n">
        <x:v>0.4583333333333333</x:v>
      </x:c>
      <x:c r="H68" s="15" t="n">
        <x:v>0.875</x:v>
      </x:c>
      <x:c r="I68" s="15" t="n">
        <x:v>0.625</x:v>
      </x:c>
      <x:c r="J68" s="15" t="n">
        <x:v>0.7083333333333334</x:v>
      </x:c>
      <x:c r="K68" s="14" t="n">
        <x:f>IF(COUNT(I68:J68)=2,ROUND((J68-I68)*24,2),2)</x:f>
        <x:v>2</x:v>
      </x:c>
      <x:c r="L68" s="14" t="n">
        <x:f>IF(COUNT(G68:H68)=2,ROUND((H68-G68)*24-K68,2),0)</x:f>
        <x:v>8</x:v>
      </x:c>
      <x:c r="M68" s="14" t="n">
        <x:f>IF(L68=0,0,IF(AND(K68&gt;0,COUNT(I68:J68)&lt;2),"待現場",IF(K68&gt;0,ROUND(MAX((I68-G68)*24,(H68-J68)*24),2),L68)))</x:f>
        <x:v>4</x:v>
      </x:c>
      <x:c r="N68" s="2" t="n">
        <x:v>1</x:v>
      </x:c>
      <x:c r="O68" s="2" t="str">
        <x:v>司爐</x:v>
      </x:c>
      <x:c r="P68" s="11" t="str">
        <x:v>整天可排</x:v>
      </x:c>
    </x:row>
    <x:row r="69" ht="34" customHeight="1">
      <x:c r="A69" s="12" t="n">
        <x:v>46314</x:v>
      </x:c>
      <x:c r="B69" s="2" t="str">
        <x:v>一</x:v>
      </x:c>
      <x:c r="C69" s="2" t="str">
        <x:v>P10</x:v>
      </x:c>
      <x:c r="D69" s="2" t="str">
        <x:v>工讀</x:v>
      </x:c>
      <x:c r="E69" s="2" t="str">
        <x:v>預排</x:v>
      </x:c>
      <x:c r="F69" s="2" t="str">
        <x:v>短班</x:v>
      </x:c>
      <x:c r="G69" s="15" t="n">
        <x:v>0.4166666666666667</x:v>
      </x:c>
      <x:c r="H69" s="15" t="n">
        <x:v>0.6458333333333334</x:v>
      </x:c>
      <x:c r="I69" s="15" t="n">
        <x:v>0.5416666666666666</x:v>
      </x:c>
      <x:c r="J69" s="15" t="n">
        <x:v>0.5625</x:v>
      </x:c>
      <x:c r="K69" s="14" t="n">
        <x:f>IF(COUNT(I69:J69)=2,ROUND((J69-I69)*24,2),0.5)</x:f>
        <x:v>0.5</x:v>
      </x:c>
      <x:c r="L69" s="14" t="n">
        <x:f>IF(COUNT(G69:H69)=2,ROUND((H69-G69)*24-K69,2),0)</x:f>
        <x:v>5</x:v>
      </x:c>
      <x:c r="M69" s="14" t="n">
        <x:f>IF(L69=0,0,IF(AND(K69&gt;0,COUNT(I69:J69)&lt;2),"待現場",IF(K69&gt;0,ROUND(MAX((I69-G69)*24,(H69-J69)*24),2),L69)))</x:f>
        <x:v>3</x:v>
      </x:c>
      <x:c r="N69" s="2" t="n">
        <x:v>0</x:v>
      </x:c>
      <x:c r="O69" s="2" t="str">
        <x:v>司爐</x:v>
      </x:c>
      <x:c r="P69" s="11" t="str">
        <x:v>早班10–15:30</x:v>
      </x:c>
    </x:row>
    <x:row r="70" ht="34" customHeight="1">
      <x:c r="A70" s="12" t="n">
        <x:v>46315</x:v>
      </x:c>
      <x:c r="B70" s="2" t="str">
        <x:v>二</x:v>
      </x:c>
      <x:c r="C70" s="2" t="str">
        <x:v>P10</x:v>
      </x:c>
      <x:c r="D70" s="2" t="str">
        <x:v>工讀</x:v>
      </x:c>
      <x:c r="E70" s="2" t="str">
        <x:v>休</x:v>
      </x:c>
      <x:c r="F70" s="2" t="str">
        <x:v>—</x:v>
      </x:c>
      <x:c r="G70" s="15"/>
      <x:c r="H70" s="15"/>
      <x:c r="I70" s="15"/>
      <x:c r="J70" s="15"/>
      <x:c r="K70" s="14" t="n">
        <x:f>IF(COUNT(I70:J70)=2,ROUND((J70-I70)*24,2),0)</x:f>
        <x:v>0</x:v>
      </x:c>
      <x:c r="L70" s="14" t="n">
        <x:f>IF(COUNT(G70:H70)=2,ROUND((H70-G70)*24-K70,2),0)</x:f>
        <x:v>0</x:v>
      </x:c>
      <x:c r="M70" s="14" t="n">
        <x:f>IF(L70=0,0,IF(AND(K70&gt;0,COUNT(I70:J70)&lt;2),"待現場",IF(K70&gt;0,ROUND(MAX((I70-G70)*24,(H70-J70)*24),2),L70)))</x:f>
        <x:v>0</x:v>
      </x:c>
      <x:c r="N70" s="2" t="n">
        <x:v>0</x:v>
      </x:c>
      <x:c r="O70" s="2" t="str">
        <x:v>—</x:v>
      </x:c>
      <x:c r="P70" s="11" t="str">
        <x:v>早班10–15:30</x:v>
      </x:c>
    </x:row>
    <x:row r="71" ht="34" customHeight="1">
      <x:c r="A71" s="12" t="n">
        <x:v>46316</x:v>
      </x:c>
      <x:c r="B71" s="2" t="str">
        <x:v>三</x:v>
      </x:c>
      <x:c r="C71" s="2" t="str">
        <x:v>P10</x:v>
      </x:c>
      <x:c r="D71" s="2" t="str">
        <x:v>工讀</x:v>
      </x:c>
      <x:c r="E71" s="2" t="str">
        <x:v>預排</x:v>
      </x:c>
      <x:c r="F71" s="2" t="str">
        <x:v>整天</x:v>
      </x:c>
      <x:c r="G71" s="15" t="n">
        <x:v>0.4583333333333333</x:v>
      </x:c>
      <x:c r="H71" s="15" t="n">
        <x:v>0.875</x:v>
      </x:c>
      <x:c r="I71" s="15" t="n">
        <x:v>0.625</x:v>
      </x:c>
      <x:c r="J71" s="15" t="n">
        <x:v>0.7083333333333334</x:v>
      </x:c>
      <x:c r="K71" s="14" t="n">
        <x:f>IF(COUNT(I71:J71)=2,ROUND((J71-I71)*24,2),2)</x:f>
        <x:v>2</x:v>
      </x:c>
      <x:c r="L71" s="14" t="n">
        <x:f>IF(COUNT(G71:H71)=2,ROUND((H71-G71)*24-K71,2),0)</x:f>
        <x:v>8</x:v>
      </x:c>
      <x:c r="M71" s="14" t="n">
        <x:f>IF(L71=0,0,IF(AND(K71&gt;0,COUNT(I71:J71)&lt;2),"待現場",IF(K71&gt;0,ROUND(MAX((I71-G71)*24,(H71-J71)*24),2),L71)))</x:f>
        <x:v>4</x:v>
      </x:c>
      <x:c r="N71" s="2" t="n">
        <x:v>1</x:v>
      </x:c>
      <x:c r="O71" s="2" t="str">
        <x:v>司爐</x:v>
      </x:c>
      <x:c r="P71" s="11" t="str">
        <x:v>依最新批註指定11–21、司爐；休2小時。</x:v>
      </x:c>
    </x:row>
    <x:row r="72" ht="34" customHeight="1">
      <x:c r="A72" s="12" t="n">
        <x:v>46317</x:v>
      </x:c>
      <x:c r="B72" s="2" t="str">
        <x:v>四</x:v>
      </x:c>
      <x:c r="C72" s="2" t="str">
        <x:v>P10</x:v>
      </x:c>
      <x:c r="D72" s="2" t="str">
        <x:v>工讀</x:v>
      </x:c>
      <x:c r="E72" s="2" t="str">
        <x:v>休</x:v>
      </x:c>
      <x:c r="F72" s="2" t="str">
        <x:v>—</x:v>
      </x:c>
      <x:c r="G72" s="15"/>
      <x:c r="H72" s="15"/>
      <x:c r="I72" s="15"/>
      <x:c r="J72" s="15"/>
      <x:c r="K72" s="14" t="n">
        <x:f>IF(COUNT(I72:J72)=2,ROUND((J72-I72)*24,2),0)</x:f>
        <x:v>0</x:v>
      </x:c>
      <x:c r="L72" s="14" t="n">
        <x:f>IF(COUNT(G72:H72)=2,ROUND((H72-G72)*24-K72,2),0)</x:f>
        <x:v>0</x:v>
      </x:c>
      <x:c r="M72" s="14" t="n">
        <x:f>IF(L72=0,0,IF(AND(K72&gt;0,COUNT(I72:J72)&lt;2),"待現場",IF(K72&gt;0,ROUND(MAX((I72-G72)*24,(H72-J72)*24),2),L72)))</x:f>
        <x:v>0</x:v>
      </x:c>
      <x:c r="N72" s="2" t="n">
        <x:v>0</x:v>
      </x:c>
      <x:c r="O72" s="2" t="str">
        <x:v>—</x:v>
      </x:c>
      <x:c r="P72" s="11" t="str">
        <x:v>早班10–15:30</x:v>
      </x:c>
    </x:row>
    <x:row r="73" ht="34" customHeight="1">
      <x:c r="A73" s="12" t="n">
        <x:v>46318</x:v>
      </x:c>
      <x:c r="B73" s="2" t="str">
        <x:v>五</x:v>
      </x:c>
      <x:c r="C73" s="2" t="str">
        <x:v>P10</x:v>
      </x:c>
      <x:c r="D73" s="2" t="str">
        <x:v>工讀</x:v>
      </x:c>
      <x:c r="E73" s="2" t="str">
        <x:v>休</x:v>
      </x:c>
      <x:c r="F73" s="2" t="str">
        <x:v>—</x:v>
      </x:c>
      <x:c r="G73" s="15"/>
      <x:c r="H73" s="15"/>
      <x:c r="I73" s="15"/>
      <x:c r="J73" s="15"/>
      <x:c r="K73" s="14" t="n">
        <x:f>IF(COUNT(I73:J73)=2,ROUND((J73-I73)*24,2),0)</x:f>
        <x:v>0</x:v>
      </x:c>
      <x:c r="L73" s="14" t="n">
        <x:f>IF(COUNT(G73:H73)=2,ROUND((H73-G73)*24-K73,2),0)</x:f>
        <x:v>0</x:v>
      </x:c>
      <x:c r="M73" s="14" t="n">
        <x:f>IF(L73=0,0,IF(AND(K73&gt;0,COUNT(I73:J73)&lt;2),"待現場",IF(K73&gt;0,ROUND(MAX((I73-G73)*24,(H73-J73)*24),2),L73)))</x:f>
        <x:v>0</x:v>
      </x:c>
      <x:c r="N73" s="2" t="n">
        <x:v>0</x:v>
      </x:c>
      <x:c r="O73" s="2" t="str">
        <x:v>—</x:v>
      </x:c>
      <x:c r="P73" s="11" t="str">
        <x:v>早班10–15:30</x:v>
      </x:c>
    </x:row>
    <x:row r="74" ht="34" customHeight="1">
      <x:c r="A74" s="12" t="n">
        <x:v>46319</x:v>
      </x:c>
      <x:c r="B74" s="2" t="str">
        <x:v>六</x:v>
      </x:c>
      <x:c r="C74" s="2" t="str">
        <x:v>P10</x:v>
      </x:c>
      <x:c r="D74" s="2" t="str">
        <x:v>工讀</x:v>
      </x:c>
      <x:c r="E74" s="2" t="str">
        <x:v>預排</x:v>
      </x:c>
      <x:c r="F74" s="2" t="str">
        <x:v>短班</x:v>
      </x:c>
      <x:c r="G74" s="15" t="n">
        <x:v>0.4166666666666667</x:v>
      </x:c>
      <x:c r="H74" s="15" t="n">
        <x:v>0.6458333333333334</x:v>
      </x:c>
      <x:c r="I74" s="15" t="n">
        <x:v>0.5416666666666666</x:v>
      </x:c>
      <x:c r="J74" s="15" t="n">
        <x:v>0.5625</x:v>
      </x:c>
      <x:c r="K74" s="14" t="n">
        <x:f>IF(COUNT(I74:J74)=2,ROUND((J74-I74)*24,2),0.5)</x:f>
        <x:v>0.5</x:v>
      </x:c>
      <x:c r="L74" s="14" t="n">
        <x:f>IF(COUNT(G74:H74)=2,ROUND((H74-G74)*24-K74,2),0)</x:f>
        <x:v>5</x:v>
      </x:c>
      <x:c r="M74" s="14" t="n">
        <x:f>IF(L74=0,0,IF(AND(K74&gt;0,COUNT(I74:J74)&lt;2),"待現場",IF(K74&gt;0,ROUND(MAX((I74-G74)*24,(H74-J74)*24),2),L74)))</x:f>
        <x:v>3</x:v>
      </x:c>
      <x:c r="N74" s="2" t="n">
        <x:v>0</x:v>
      </x:c>
      <x:c r="O74" s="2" t="str">
        <x:v>司爐</x:v>
      </x:c>
      <x:c r="P74" s="11" t="str">
        <x:v>早班10–15:30</x:v>
      </x:c>
    </x:row>
    <x:row r="75" ht="34" customHeight="1">
      <x:c r="A75" s="12" t="n">
        <x:v>46320</x:v>
      </x:c>
      <x:c r="B75" s="2" t="str">
        <x:v>日</x:v>
      </x:c>
      <x:c r="C75" s="2" t="str">
        <x:v>P10</x:v>
      </x:c>
      <x:c r="D75" s="2" t="str">
        <x:v>工讀</x:v>
      </x:c>
      <x:c r="E75" s="2" t="str">
        <x:v>預排</x:v>
      </x:c>
      <x:c r="F75" s="2" t="str">
        <x:v>整天</x:v>
      </x:c>
      <x:c r="G75" s="15" t="n">
        <x:v>0.5</x:v>
      </x:c>
      <x:c r="H75" s="15" t="n">
        <x:v>0.9166666666666666</x:v>
      </x:c>
      <x:c r="I75" s="15" t="n">
        <x:v>0.6666666666666666</x:v>
      </x:c>
      <x:c r="J75" s="15" t="n">
        <x:v>0.75</x:v>
      </x:c>
      <x:c r="K75" s="14" t="n">
        <x:f>IF(COUNT(I75:J75)=2,ROUND((J75-I75)*24,2),0)</x:f>
        <x:v>2</x:v>
      </x:c>
      <x:c r="L75" s="14" t="n">
        <x:f>IF(COUNT(G75:H75)=2,ROUND((H75-G75)*24-K75,2),0)</x:f>
        <x:v>8</x:v>
      </x:c>
      <x:c r="M75" s="14" t="n">
        <x:f>IF(L75=0,0,IF(AND(K75&gt;0,COUNT(I75:J75)&lt;2),"待現場",IF(K75&gt;0,ROUND(MAX((I75-G75)*24,(H75-J75)*24),2),L75)))</x:f>
        <x:v>4</x:v>
      </x:c>
      <x:c r="N75" s="2" t="n">
        <x:v>1</x:v>
      </x:c>
      <x:c r="O75" s="2" t="str">
        <x:v>炸區；拍區</x:v>
      </x:c>
      <x:c r="P75" s="11" t="str">
        <x:v>最新批註指定12–22、午炸區晚拍區，取代前次料區；依原班休16–18。拍區能力原資料未列，依指定保留待核。</x:v>
      </x:c>
    </x:row>
    <x:row r="76" ht="34" customHeight="1">
      <x:c r="A76" s="12" t="n">
        <x:v>46314</x:v>
      </x:c>
      <x:c r="B76" s="2" t="str">
        <x:v>一</x:v>
      </x:c>
      <x:c r="C76" s="2" t="str">
        <x:v>P11</x:v>
      </x:c>
      <x:c r="D76" s="2" t="str">
        <x:v>工讀</x:v>
      </x:c>
      <x:c r="E76" s="2" t="str">
        <x:v>休</x:v>
      </x:c>
      <x:c r="F76" s="2" t="str">
        <x:v>—</x:v>
      </x:c>
      <x:c r="G76" s="15"/>
      <x:c r="H76" s="15"/>
      <x:c r="I76" s="15"/>
      <x:c r="J76" s="15"/>
      <x:c r="K76" s="14" t="n">
        <x:f>IF(COUNT(I76:J76)=2,ROUND((J76-I76)*24,2),0)</x:f>
        <x:v>0</x:v>
      </x:c>
      <x:c r="L76" s="14" t="n">
        <x:f>IF(COUNT(G76:H76)=2,ROUND((H76-G76)*24-K76,2),0)</x:f>
        <x:v>0</x:v>
      </x:c>
      <x:c r="M76" s="14" t="n">
        <x:f>IF(L76=0,0,IF(AND(K76&gt;0,COUNT(I76:J76)&lt;2),"待現場",IF(K76&gt;0,ROUND(MAX((I76-G76)*24,(H76-J76)*24),2),L76)))</x:f>
        <x:v>0</x:v>
      </x:c>
      <x:c r="N76" s="2" t="n">
        <x:v>0</x:v>
      </x:c>
      <x:c r="O76" s="2" t="str">
        <x:v>—</x:v>
      </x:c>
      <x:c r="P76" s="11" t="str">
        <x:v>早班10–15:30；晚不可；至少休3天</x:v>
      </x:c>
    </x:row>
    <x:row r="77" ht="34" customHeight="1">
      <x:c r="A77" s="12" t="n">
        <x:v>46315</x:v>
      </x:c>
      <x:c r="B77" s="2" t="str">
        <x:v>二</x:v>
      </x:c>
      <x:c r="C77" s="2" t="str">
        <x:v>P11</x:v>
      </x:c>
      <x:c r="D77" s="2" t="str">
        <x:v>工讀</x:v>
      </x:c>
      <x:c r="E77" s="2" t="str">
        <x:v>預排</x:v>
      </x:c>
      <x:c r="F77" s="2" t="str">
        <x:v>短班</x:v>
      </x:c>
      <x:c r="G77" s="15" t="n">
        <x:v>0.4166666666666667</x:v>
      </x:c>
      <x:c r="H77" s="15" t="n">
        <x:v>0.6458333333333334</x:v>
      </x:c>
      <x:c r="I77" s="15" t="n">
        <x:v>0.5416666666666666</x:v>
      </x:c>
      <x:c r="J77" s="15" t="n">
        <x:v>0.5625</x:v>
      </x:c>
      <x:c r="K77" s="14" t="n">
        <x:f>IF(COUNT(I77:J77)=2,ROUND((J77-I77)*24,2),0.5)</x:f>
        <x:v>0.5</x:v>
      </x:c>
      <x:c r="L77" s="14" t="n">
        <x:f>IF(COUNT(G77:H77)=2,ROUND((H77-G77)*24-K77,2),0)</x:f>
        <x:v>5</x:v>
      </x:c>
      <x:c r="M77" s="14" t="n">
        <x:f>IF(L77=0,0,IF(AND(K77&gt;0,COUNT(I77:J77)&lt;2),"待現場",IF(K77&gt;0,ROUND(MAX((I77-G77)*24,(H77-J77)*24),2),L77)))</x:f>
        <x:v>3</x:v>
      </x:c>
      <x:c r="N77" s="2" t="n">
        <x:v>0</x:v>
      </x:c>
      <x:c r="O77" s="2" t="str">
        <x:v>司爐</x:v>
      </x:c>
      <x:c r="P77" s="11" t="str">
        <x:v>早班10–15:30；晚不可；至少休3天</x:v>
      </x:c>
    </x:row>
    <x:row r="78" ht="34" customHeight="1">
      <x:c r="A78" s="12" t="n">
        <x:v>46316</x:v>
      </x:c>
      <x:c r="B78" s="2" t="str">
        <x:v>三</x:v>
      </x:c>
      <x:c r="C78" s="2" t="str">
        <x:v>P11</x:v>
      </x:c>
      <x:c r="D78" s="2" t="str">
        <x:v>工讀</x:v>
      </x:c>
      <x:c r="E78" s="2" t="str">
        <x:v>休</x:v>
      </x:c>
      <x:c r="F78" s="2" t="str">
        <x:v>—</x:v>
      </x:c>
      <x:c r="G78" s="15"/>
      <x:c r="H78" s="15"/>
      <x:c r="I78" s="15"/>
      <x:c r="J78" s="15"/>
      <x:c r="K78" s="14" t="n">
        <x:f>IF(COUNT(I78:J78)=2,ROUND((J78-I78)*24,2),0)</x:f>
        <x:v>0</x:v>
      </x:c>
      <x:c r="L78" s="14" t="n">
        <x:f>IF(COUNT(G78:H78)=2,ROUND((H78-G78)*24-K78,2),0)</x:f>
        <x:v>0</x:v>
      </x:c>
      <x:c r="M78" s="14" t="n">
        <x:f>IF(L78=0,0,IF(AND(K78&gt;0,COUNT(I78:J78)&lt;2),"待現場",IF(K78&gt;0,ROUND(MAX((I78-G78)*24,(H78-J78)*24),2),L78)))</x:f>
        <x:v>0</x:v>
      </x:c>
      <x:c r="N78" s="2" t="n">
        <x:v>0</x:v>
      </x:c>
      <x:c r="O78" s="2" t="str">
        <x:v>—</x:v>
      </x:c>
      <x:c r="P78" s="11" t="str">
        <x:v>早班10–15:30；晚不可；至少休3天</x:v>
      </x:c>
    </x:row>
    <x:row r="79" ht="34" customHeight="1">
      <x:c r="A79" s="12" t="n">
        <x:v>46317</x:v>
      </x:c>
      <x:c r="B79" s="2" t="str">
        <x:v>四</x:v>
      </x:c>
      <x:c r="C79" s="2" t="str">
        <x:v>P11</x:v>
      </x:c>
      <x:c r="D79" s="2" t="str">
        <x:v>工讀</x:v>
      </x:c>
      <x:c r="E79" s="2" t="str">
        <x:v>預排</x:v>
      </x:c>
      <x:c r="F79" s="2" t="str">
        <x:v>短班</x:v>
      </x:c>
      <x:c r="G79" s="15" t="n">
        <x:v>0.4166666666666667</x:v>
      </x:c>
      <x:c r="H79" s="15" t="n">
        <x:v>0.6458333333333334</x:v>
      </x:c>
      <x:c r="I79" s="15" t="n">
        <x:v>0.5416666666666666</x:v>
      </x:c>
      <x:c r="J79" s="15" t="n">
        <x:v>0.5625</x:v>
      </x:c>
      <x:c r="K79" s="14" t="n">
        <x:f>IF(COUNT(I79:J79)=2,ROUND((J79-I79)*24,2),0.5)</x:f>
        <x:v>0.5</x:v>
      </x:c>
      <x:c r="L79" s="14" t="n">
        <x:f>IF(COUNT(G79:H79)=2,ROUND((H79-G79)*24-K79,2),0)</x:f>
        <x:v>5</x:v>
      </x:c>
      <x:c r="M79" s="14" t="n">
        <x:f>IF(L79=0,0,IF(AND(K79&gt;0,COUNT(I79:J79)&lt;2),"待現場",IF(K79&gt;0,ROUND(MAX((I79-G79)*24,(H79-J79)*24),2),L79)))</x:f>
        <x:v>3</x:v>
      </x:c>
      <x:c r="N79" s="2" t="n">
        <x:v>0</x:v>
      </x:c>
      <x:c r="O79" s="2" t="str">
        <x:v>料區</x:v>
      </x:c>
      <x:c r="P79" s="11" t="str">
        <x:v>早班10–15:30；晚不可；至少休3天</x:v>
      </x:c>
    </x:row>
    <x:row r="80" ht="34" customHeight="1">
      <x:c r="A80" s="12" t="n">
        <x:v>46318</x:v>
      </x:c>
      <x:c r="B80" s="2" t="str">
        <x:v>五</x:v>
      </x:c>
      <x:c r="C80" s="2" t="str">
        <x:v>P11</x:v>
      </x:c>
      <x:c r="D80" s="2" t="str">
        <x:v>工讀</x:v>
      </x:c>
      <x:c r="E80" s="2" t="str">
        <x:v>預排</x:v>
      </x:c>
      <x:c r="F80" s="2" t="str">
        <x:v>短班</x:v>
      </x:c>
      <x:c r="G80" s="15" t="n">
        <x:v>0.4166666666666667</x:v>
      </x:c>
      <x:c r="H80" s="15" t="n">
        <x:v>0.6458333333333334</x:v>
      </x:c>
      <x:c r="I80" s="15" t="n">
        <x:v>0.5416666666666666</x:v>
      </x:c>
      <x:c r="J80" s="15" t="n">
        <x:v>0.5625</x:v>
      </x:c>
      <x:c r="K80" s="14" t="n">
        <x:f>IF(COUNT(I80:J80)=2,ROUND((J80-I80)*24,2),0.5)</x:f>
        <x:v>0.5</x:v>
      </x:c>
      <x:c r="L80" s="14" t="n">
        <x:f>IF(COUNT(G80:H80)=2,ROUND((H80-G80)*24-K80,2),0)</x:f>
        <x:v>5</x:v>
      </x:c>
      <x:c r="M80" s="14" t="n">
        <x:f>IF(L80=0,0,IF(AND(K80&gt;0,COUNT(I80:J80)&lt;2),"待現場",IF(K80&gt;0,ROUND(MAX((I80-G80)*24,(H80-J80)*24),2),L80)))</x:f>
        <x:v>3</x:v>
      </x:c>
      <x:c r="N80" s="2" t="n">
        <x:v>0</x:v>
      </x:c>
      <x:c r="O80" s="2" t="str">
        <x:v>司爐</x:v>
      </x:c>
      <x:c r="P80" s="11" t="str">
        <x:v>早班10–15:30；晚不可；至少休3天</x:v>
      </x:c>
    </x:row>
    <x:row r="81" ht="34" customHeight="1">
      <x:c r="A81" s="12" t="n">
        <x:v>46319</x:v>
      </x:c>
      <x:c r="B81" s="2" t="str">
        <x:v>六</x:v>
      </x:c>
      <x:c r="C81" s="2" t="str">
        <x:v>P11</x:v>
      </x:c>
      <x:c r="D81" s="2" t="str">
        <x:v>工讀</x:v>
      </x:c>
      <x:c r="E81" s="2" t="str">
        <x:v>休</x:v>
      </x:c>
      <x:c r="F81" s="2" t="str">
        <x:v>—</x:v>
      </x:c>
      <x:c r="G81" s="15"/>
      <x:c r="H81" s="15"/>
      <x:c r="I81" s="15"/>
      <x:c r="J81" s="15"/>
      <x:c r="K81" s="14" t="n">
        <x:f>IF(COUNT(I81:J81)=2,ROUND((J81-I81)*24,2),0)</x:f>
        <x:v>0</x:v>
      </x:c>
      <x:c r="L81" s="14" t="n">
        <x:f>IF(COUNT(G81:H81)=2,ROUND((H81-G81)*24-K81,2),0)</x:f>
        <x:v>0</x:v>
      </x:c>
      <x:c r="M81" s="14" t="n">
        <x:f>IF(L81=0,0,IF(AND(K81&gt;0,COUNT(I81:J81)&lt;2),"待現場",IF(K81&gt;0,ROUND(MAX((I81-G81)*24,(H81-J81)*24),2),L81)))</x:f>
        <x:v>0</x:v>
      </x:c>
      <x:c r="N81" s="2" t="n">
        <x:v>0</x:v>
      </x:c>
      <x:c r="O81" s="2" t="str">
        <x:v>—</x:v>
      </x:c>
      <x:c r="P81" s="11" t="str">
        <x:v>早班10–15:30；晚不可；至少休3天</x:v>
      </x:c>
    </x:row>
    <x:row r="82" ht="34" customHeight="1">
      <x:c r="A82" s="12" t="n">
        <x:v>46320</x:v>
      </x:c>
      <x:c r="B82" s="2" t="str">
        <x:v>日</x:v>
      </x:c>
      <x:c r="C82" s="2" t="str">
        <x:v>P11</x:v>
      </x:c>
      <x:c r="D82" s="2" t="str">
        <x:v>工讀</x:v>
      </x:c>
      <x:c r="E82" s="2" t="str">
        <x:v>預排</x:v>
      </x:c>
      <x:c r="F82" s="2" t="str">
        <x:v>短班</x:v>
      </x:c>
      <x:c r="G82" s="15" t="n">
        <x:v>0.4166666666666667</x:v>
      </x:c>
      <x:c r="H82" s="15" t="n">
        <x:v>0.6458333333333334</x:v>
      </x:c>
      <x:c r="I82" s="15" t="n">
        <x:v>0.5416666666666666</x:v>
      </x:c>
      <x:c r="J82" s="15" t="n">
        <x:v>0.5625</x:v>
      </x:c>
      <x:c r="K82" s="14" t="n">
        <x:f>IF(COUNT(I82:J82)=2,ROUND((J82-I82)*24,2),0.5)</x:f>
        <x:v>0.5</x:v>
      </x:c>
      <x:c r="L82" s="14" t="n">
        <x:f>IF(COUNT(G82:H82)=2,ROUND((H82-G82)*24-K82,2),0)</x:f>
        <x:v>5</x:v>
      </x:c>
      <x:c r="M82" s="14" t="n">
        <x:f>IF(L82=0,0,IF(AND(K82&gt;0,COUNT(I82:J82)&lt;2),"待現場",IF(K82&gt;0,ROUND(MAX((I82-G82)*24,(H82-J82)*24),2),L82)))</x:f>
        <x:v>3</x:v>
      </x:c>
      <x:c r="N82" s="2" t="n">
        <x:v>0</x:v>
      </x:c>
      <x:c r="O82" s="2" t="str">
        <x:v>拍區</x:v>
      </x:c>
      <x:c r="P82" s="11" t="str">
        <x:v>早班10–15:30；晚不可；至少休3天</x:v>
      </x:c>
    </x:row>
    <x:row r="83" ht="34" customHeight="1">
      <x:c r="A83" s="12" t="n">
        <x:v>46314</x:v>
      </x:c>
      <x:c r="B83" s="2" t="str">
        <x:v>一</x:v>
      </x:c>
      <x:c r="C83" s="2" t="str">
        <x:v>P12</x:v>
      </x:c>
      <x:c r="D83" s="2" t="str">
        <x:v>新人</x:v>
      </x:c>
      <x:c r="E83" s="2" t="str">
        <x:v>X</x:v>
      </x:c>
      <x:c r="F83" s="2" t="str">
        <x:v>—</x:v>
      </x:c>
      <x:c r="G83" s="15"/>
      <x:c r="H83" s="15"/>
      <x:c r="I83" s="15"/>
      <x:c r="J83" s="15"/>
      <x:c r="K83" s="14" t="n">
        <x:f>IF(COUNT(I83:J83)=2,ROUND((J83-I83)*24,2),0)</x:f>
        <x:v>0</x:v>
      </x:c>
      <x:c r="L83" s="14" t="n">
        <x:f>IF(COUNT(G83:H83)=2,ROUND((H83-G83)*24-K83,2),0)</x:f>
        <x:v>0</x:v>
      </x:c>
      <x:c r="M83" s="14" t="n">
        <x:f>IF(L83=0,0,IF(AND(K83&gt;0,COUNT(I83:J83)&lt;2),"待現場",IF(K83&gt;0,ROUND(MAX((I83-G83)*24,(H83-J83)*24),2),L83)))</x:f>
        <x:v>0</x:v>
      </x:c>
      <x:c r="N83" s="2" t="n">
        <x:v>0</x:v>
      </x:c>
      <x:c r="O83" s="2" t="str">
        <x:v>—</x:v>
      </x:c>
      <x:c r="P83" s="11" t="str">
        <x:v>X</x:v>
      </x:c>
    </x:row>
    <x:row r="84" ht="34" customHeight="1">
      <x:c r="A84" s="12" t="n">
        <x:v>46315</x:v>
      </x:c>
      <x:c r="B84" s="2" t="str">
        <x:v>二</x:v>
      </x:c>
      <x:c r="C84" s="2" t="str">
        <x:v>P12</x:v>
      </x:c>
      <x:c r="D84" s="2" t="str">
        <x:v>新人</x:v>
      </x:c>
      <x:c r="E84" s="2" t="str">
        <x:v>休</x:v>
      </x:c>
      <x:c r="F84" s="2" t="str">
        <x:v>—</x:v>
      </x:c>
      <x:c r="G84" s="15"/>
      <x:c r="H84" s="15"/>
      <x:c r="I84" s="15"/>
      <x:c r="J84" s="15"/>
      <x:c r="K84" s="14" t="n">
        <x:f>IF(COUNT(I84:J84)=2,ROUND((J84-I84)*24,2),0)</x:f>
        <x:v>0</x:v>
      </x:c>
      <x:c r="L84" s="14" t="n">
        <x:f>IF(COUNT(G84:H84)=2,ROUND((H84-G84)*24-K84,2),0)</x:f>
        <x:v>0</x:v>
      </x:c>
      <x:c r="M84" s="14" t="n">
        <x:f>IF(L84=0,0,IF(AND(K84&gt;0,COUNT(I84:J84)&lt;2),"待現場",IF(K84&gt;0,ROUND(MAX((I84-G84)*24,(H84-J84)*24),2),L84)))</x:f>
        <x:v>0</x:v>
      </x:c>
      <x:c r="N84" s="2" t="n">
        <x:v>0</x:v>
      </x:c>
      <x:c r="O84" s="2" t="str">
        <x:v>—</x:v>
      </x:c>
      <x:c r="P84" s="11" t="str">
        <x:v>18–22；無完整同崗帶訓，暫未排</x:v>
      </x:c>
    </x:row>
    <x:row r="85" ht="34" customHeight="1">
      <x:c r="A85" s="12" t="n">
        <x:v>46316</x:v>
      </x:c>
      <x:c r="B85" s="2" t="str">
        <x:v>三</x:v>
      </x:c>
      <x:c r="C85" s="2" t="str">
        <x:v>P12</x:v>
      </x:c>
      <x:c r="D85" s="2" t="str">
        <x:v>新人</x:v>
      </x:c>
      <x:c r="E85" s="2" t="str">
        <x:v>休</x:v>
      </x:c>
      <x:c r="F85" s="2" t="str">
        <x:v>—</x:v>
      </x:c>
      <x:c r="G85" s="15"/>
      <x:c r="H85" s="15"/>
      <x:c r="I85" s="15"/>
      <x:c r="J85" s="15"/>
      <x:c r="K85" s="14" t="n">
        <x:f>IF(COUNT(I85:J85)=2,ROUND((J85-I85)*24,2),0)</x:f>
        <x:v>0</x:v>
      </x:c>
      <x:c r="L85" s="14" t="n">
        <x:f>IF(COUNT(G85:H85)=2,ROUND((H85-G85)*24-K85,2),0)</x:f>
        <x:v>0</x:v>
      </x:c>
      <x:c r="M85" s="14" t="n">
        <x:f>IF(L85=0,0,IF(AND(K85&gt;0,COUNT(I85:J85)&lt;2),"待現場",IF(K85&gt;0,ROUND(MAX((I85-G85)*24,(H85-J85)*24),2),L85)))</x:f>
        <x:v>0</x:v>
      </x:c>
      <x:c r="N85" s="2" t="n">
        <x:v>0</x:v>
      </x:c>
      <x:c r="O85" s="2" t="str">
        <x:v>—</x:v>
      </x:c>
      <x:c r="P85" s="11" t="str">
        <x:v>18–22；無完整同崗帶訓，暫未排</x:v>
      </x:c>
    </x:row>
    <x:row r="86" ht="34" customHeight="1">
      <x:c r="A86" s="12" t="n">
        <x:v>46317</x:v>
      </x:c>
      <x:c r="B86" s="2" t="str">
        <x:v>四</x:v>
      </x:c>
      <x:c r="C86" s="2" t="str">
        <x:v>P12</x:v>
      </x:c>
      <x:c r="D86" s="2" t="str">
        <x:v>新人</x:v>
      </x:c>
      <x:c r="E86" s="2" t="str">
        <x:v>預排</x:v>
      </x:c>
      <x:c r="F86" s="2" t="str">
        <x:v>整天</x:v>
      </x:c>
      <x:c r="G86" s="15" t="n">
        <x:v>0.4583333333333333</x:v>
      </x:c>
      <x:c r="H86" s="15" t="n">
        <x:v>0.875</x:v>
      </x:c>
      <x:c r="I86" s="15" t="n">
        <x:v>0.625</x:v>
      </x:c>
      <x:c r="J86" s="15" t="n">
        <x:v>0.7083333333333334</x:v>
      </x:c>
      <x:c r="K86" s="14" t="n">
        <x:f>IF(COUNT(I86:J86)=2,ROUND((J86-I86)*24,2),2)</x:f>
        <x:v>2</x:v>
      </x:c>
      <x:c r="L86" s="14" t="n">
        <x:f>IF(COUNT(G86:H86)=2,ROUND((H86-G86)*24-K86,2),0)</x:f>
        <x:v>8</x:v>
      </x:c>
      <x:c r="M86" s="14" t="n">
        <x:f>IF(L86=0,0,IF(AND(K86&gt;0,COUNT(I86:J86)&lt;2),"待現場",IF(K86&gt;0,ROUND(MAX((I86-G86)*24,(H86-J86)*24),2),L86)))</x:f>
        <x:v>4</x:v>
      </x:c>
      <x:c r="N86" s="2" t="n">
        <x:v>1</x:v>
      </x:c>
      <x:c r="O86" s="2" t="str">
        <x:v>外場</x:v>
      </x:c>
      <x:c r="P86" s="11" t="str">
        <x:v>11–21（最新修正）；P01與P12同班11–21、同崗外場，休15–17；新人不計人力</x:v>
      </x:c>
    </x:row>
    <x:row r="87" ht="34" customHeight="1">
      <x:c r="A87" s="12" t="n">
        <x:v>46318</x:v>
      </x:c>
      <x:c r="B87" s="2" t="str">
        <x:v>五</x:v>
      </x:c>
      <x:c r="C87" s="2" t="str">
        <x:v>P12</x:v>
      </x:c>
      <x:c r="D87" s="2" t="str">
        <x:v>新人</x:v>
      </x:c>
      <x:c r="E87" s="2" t="str">
        <x:v>預排</x:v>
      </x:c>
      <x:c r="F87" s="2" t="str">
        <x:v>短班</x:v>
      </x:c>
      <x:c r="G87" s="15" t="n">
        <x:v>0.7083333333333334</x:v>
      </x:c>
      <x:c r="H87" s="15" t="n">
        <x:v>0.875</x:v>
      </x:c>
      <x:c r="I87" s="15"/>
      <x:c r="J87" s="15"/>
      <x:c r="K87" s="14" t="n">
        <x:f>IF(COUNT(I87:J87)=2,ROUND((J87-I87)*24,2),0)</x:f>
        <x:v>0</x:v>
      </x:c>
      <x:c r="L87" s="14" t="n">
        <x:f>IF(COUNT(G87:H87)=2,ROUND((H87-G87)*24-K87,2),0)</x:f>
        <x:v>4</x:v>
      </x:c>
      <x:c r="M87" s="14" t="n">
        <x:f>IF(L87=0,0,IF(AND(K87&gt;0,COUNT(I87:J87)&lt;2),"待現場",IF(K87&gt;0,ROUND(MAX((I87-G87)*24,(H87-J87)*24),2),L87)))</x:f>
        <x:v>4</x:v>
      </x:c>
      <x:c r="N87" s="2" t="n">
        <x:v>0</x:v>
      </x:c>
      <x:c r="O87" s="2" t="str">
        <x:v>外場</x:v>
      </x:c>
      <x:c r="P87" s="11" t="str">
        <x:v>排班者指定17–21外場、淨4h；P01同外場17–21帶訓，新人不計人力。</x:v>
      </x:c>
    </x:row>
    <x:row r="88" ht="34" customHeight="1">
      <x:c r="A88" s="12" t="n">
        <x:v>46319</x:v>
      </x:c>
      <x:c r="B88" s="2" t="str">
        <x:v>六</x:v>
      </x:c>
      <x:c r="C88" s="2" t="str">
        <x:v>P12</x:v>
      </x:c>
      <x:c r="D88" s="2" t="str">
        <x:v>新人</x:v>
      </x:c>
      <x:c r="E88" s="2" t="str">
        <x:v>預排</x:v>
      </x:c>
      <x:c r="F88" s="2" t="str">
        <x:v>整天</x:v>
      </x:c>
      <x:c r="G88" s="92" t="n">
        <x:v>0.4583333333333333</x:v>
      </x:c>
      <x:c r="H88" s="92" t="n">
        <x:v>0.875</x:v>
      </x:c>
      <x:c r="I88" s="92" t="n">
        <x:v>0.625</x:v>
      </x:c>
      <x:c r="J88" s="92" t="n">
        <x:v>0.7083333333333334</x:v>
      </x:c>
      <x:c r="K88" s="14" t="n">
        <x:f>IF(COUNT(I88:J88)=2,ROUND((J88-I88)*24,2),2)</x:f>
        <x:v>2</x:v>
      </x:c>
      <x:c r="L88" s="14" t="n">
        <x:f>IF(COUNT(G88:H88)=2,ROUND((H88-G88)*24-K88,2),0)</x:f>
        <x:v>8</x:v>
      </x:c>
      <x:c r="M88" s="14" t="n">
        <x:f>IF(L88=0,0,IF(AND(K88&gt;0,COUNT(I88:J88)&lt;2),"待現場",IF(K88&gt;0,ROUND(MAX((I88-G88)*24,(H88-J88)*24),2),L88)))</x:f>
        <x:v>4</x:v>
      </x:c>
      <x:c r="N88" s="2" t="n">
        <x:v>1</x:v>
      </x:c>
      <x:c r="O88" s="2" t="str">
        <x:v>外場</x:v>
      </x:c>
      <x:c r="P88" s="11" t="str">
        <x:v>整天可排；P01與P12同班11–21、同崗外場，休15–17；新人不計人力</x:v>
      </x:c>
    </x:row>
    <x:row r="89" ht="34" customHeight="1">
      <x:c r="A89" s="12" t="n">
        <x:v>46320</x:v>
      </x:c>
      <x:c r="B89" s="2" t="str">
        <x:v>日</x:v>
      </x:c>
      <x:c r="C89" s="2" t="str">
        <x:v>P12</x:v>
      </x:c>
      <x:c r="D89" s="2" t="str">
        <x:v>新人</x:v>
      </x:c>
      <x:c r="E89" s="2" t="str">
        <x:v>預排</x:v>
      </x:c>
      <x:c r="F89" s="2" t="str">
        <x:v>中班</x:v>
      </x:c>
      <x:c r="G89" s="92" t="n">
        <x:v>0.5</x:v>
      </x:c>
      <x:c r="H89" s="92" t="n">
        <x:v>0.75</x:v>
      </x:c>
      <x:c r="I89" s="92"/>
      <x:c r="J89" s="92"/>
      <x:c r="K89" s="14" t="n">
        <x:f>0.5</x:f>
        <x:v>0.5</x:v>
      </x:c>
      <x:c r="L89" s="14" t="n">
        <x:f>IF(COUNT(G89:H89)=2,ROUND((H89-G89)*24-K89,2),0)</x:f>
        <x:v>5.5</x:v>
      </x:c>
      <x:c r="M89" s="14" t="str">
        <x:f>IF(L89=0,0,IF(AND(K89&gt;0,COUNT(I89:J89)&lt;2),"待現場",IF(K89&gt;0,ROUND(MAX((I89-G89)*24,(H89-J89)*24),2),L89)))</x:f>
        <x:v>待現場</x:v>
      </x:c>
      <x:c r="N89" s="2" t="n">
        <x:v>0</x:v>
      </x:c>
      <x:c r="O89" s="2" t="str">
        <x:v>外場</x:v>
      </x:c>
      <x:c r="P89" s="11" t="str">
        <x:v>排班者指定12–18外場，中班扣休0.5h、時點現場安排，淨5.5h；新人不計人力，現排法無完整合格同崗帶訓，待安排。</x:v>
      </x:c>
    </x:row>
    <x:row r="90">
      <x:c r="A90" s="12" t="n">
        <x:v>46313</x:v>
      </x:c>
      <x:c r="B90" s="2" t="str">
        <x:v>日</x:v>
      </x:c>
      <x:c r="C90" s="2" t="str">
        <x:v>P01</x:v>
      </x:c>
      <x:c r="D90" s="2" t="str">
        <x:v>正職</x:v>
      </x:c>
      <x:c r="E90" s="2" t="str">
        <x:v>待提供</x:v>
      </x:c>
      <x:c r="F90" s="2" t="str">
        <x:v>前週日</x:v>
      </x:c>
      <x:c r="G90" s="15"/>
      <x:c r="H90" s="15"/>
      <x:c r="I90" s="15"/>
      <x:c r="J90" s="15"/>
      <x:c r="K90" s="14"/>
      <x:c r="L90" s="14"/>
      <x:c r="M90" s="14"/>
      <x:c r="N90" s="2"/>
      <x:c r="O90" s="2"/>
      <x:c r="P90" s="11" t="str">
        <x:v>10/18資料未提供；不可視為休假或0小時</x:v>
      </x:c>
    </x:row>
    <x:row r="91">
      <x:c r="A91" s="12" t="n">
        <x:v>46313</x:v>
      </x:c>
      <x:c r="B91" s="2" t="str">
        <x:v>日</x:v>
      </x:c>
      <x:c r="C91" s="2" t="str">
        <x:v>P02</x:v>
      </x:c>
      <x:c r="D91" s="2" t="str">
        <x:v>正職</x:v>
      </x:c>
      <x:c r="E91" s="2" t="str">
        <x:v>待提供</x:v>
      </x:c>
      <x:c r="F91" s="2" t="str">
        <x:v>前週日</x:v>
      </x:c>
      <x:c r="G91" s="15"/>
      <x:c r="H91" s="15"/>
      <x:c r="I91" s="15"/>
      <x:c r="J91" s="15"/>
      <x:c r="K91" s="14"/>
      <x:c r="L91" s="14"/>
      <x:c r="M91" s="14"/>
      <x:c r="N91" s="2"/>
      <x:c r="O91" s="2"/>
      <x:c r="P91" s="11" t="str">
        <x:v>10/18資料未提供；不可視為休假或0小時</x:v>
      </x:c>
    </x:row>
    <x:row r="92">
      <x:c r="A92" s="12" t="n">
        <x:v>46313</x:v>
      </x:c>
      <x:c r="B92" s="2" t="str">
        <x:v>日</x:v>
      </x:c>
      <x:c r="C92" s="2" t="str">
        <x:v>P03</x:v>
      </x:c>
      <x:c r="D92" s="2" t="str">
        <x:v>正職</x:v>
      </x:c>
      <x:c r="E92" s="2" t="str">
        <x:v>待提供</x:v>
      </x:c>
      <x:c r="F92" s="2" t="str">
        <x:v>前週日</x:v>
      </x:c>
      <x:c r="G92" s="15"/>
      <x:c r="H92" s="15"/>
      <x:c r="I92" s="15"/>
      <x:c r="J92" s="15"/>
      <x:c r="K92" s="14"/>
      <x:c r="L92" s="14"/>
      <x:c r="M92" s="14"/>
      <x:c r="N92" s="2"/>
      <x:c r="O92" s="2"/>
      <x:c r="P92" s="11" t="str">
        <x:v>10/18資料未提供；不可視為休假或0小時</x:v>
      </x:c>
    </x:row>
    <x:row r="93">
      <x:c r="A93" s="12" t="n">
        <x:v>46313</x:v>
      </x:c>
      <x:c r="B93" s="2" t="str">
        <x:v>日</x:v>
      </x:c>
      <x:c r="C93" s="2" t="str">
        <x:v>P04</x:v>
      </x:c>
      <x:c r="D93" s="2" t="str">
        <x:v>工讀</x:v>
      </x:c>
      <x:c r="E93" s="2" t="str">
        <x:v>待提供</x:v>
      </x:c>
      <x:c r="F93" s="2" t="str">
        <x:v>前週日</x:v>
      </x:c>
      <x:c r="G93" s="15"/>
      <x:c r="H93" s="15"/>
      <x:c r="I93" s="15"/>
      <x:c r="J93" s="15"/>
      <x:c r="K93" s="14"/>
      <x:c r="L93" s="14"/>
      <x:c r="M93" s="14"/>
      <x:c r="N93" s="2"/>
      <x:c r="O93" s="2"/>
      <x:c r="P93" s="11" t="str">
        <x:v>10/18資料未提供；不可視為休假或0小時</x:v>
      </x:c>
    </x:row>
    <x:row r="94">
      <x:c r="A94" s="12" t="n">
        <x:v>46313</x:v>
      </x:c>
      <x:c r="B94" s="2" t="str">
        <x:v>日</x:v>
      </x:c>
      <x:c r="C94" s="2" t="str">
        <x:v>P05</x:v>
      </x:c>
      <x:c r="D94" s="2" t="str">
        <x:v>工讀</x:v>
      </x:c>
      <x:c r="E94" s="2" t="str">
        <x:v>待提供</x:v>
      </x:c>
      <x:c r="F94" s="2" t="str">
        <x:v>前週日</x:v>
      </x:c>
      <x:c r="G94" s="15"/>
      <x:c r="H94" s="15"/>
      <x:c r="I94" s="15"/>
      <x:c r="J94" s="15"/>
      <x:c r="K94" s="14"/>
      <x:c r="L94" s="14"/>
      <x:c r="M94" s="14"/>
      <x:c r="N94" s="2"/>
      <x:c r="O94" s="2"/>
      <x:c r="P94" s="11" t="str">
        <x:v>10/18資料未提供；不可視為休假或0小時</x:v>
      </x:c>
    </x:row>
    <x:row r="95">
      <x:c r="A95" s="12" t="n">
        <x:v>46313</x:v>
      </x:c>
      <x:c r="B95" s="2" t="str">
        <x:v>日</x:v>
      </x:c>
      <x:c r="C95" s="2" t="str">
        <x:v>P06</x:v>
      </x:c>
      <x:c r="D95" s="2" t="str">
        <x:v>工讀</x:v>
      </x:c>
      <x:c r="E95" s="2" t="str">
        <x:v>待提供</x:v>
      </x:c>
      <x:c r="F95" s="2" t="str">
        <x:v>前週日</x:v>
      </x:c>
      <x:c r="G95" s="15"/>
      <x:c r="H95" s="15"/>
      <x:c r="I95" s="15"/>
      <x:c r="J95" s="15"/>
      <x:c r="K95" s="14"/>
      <x:c r="L95" s="14"/>
      <x:c r="M95" s="14"/>
      <x:c r="N95" s="2"/>
      <x:c r="O95" s="2"/>
      <x:c r="P95" s="11" t="str">
        <x:v>10/18資料未提供；不可視為休假或0小時</x:v>
      </x:c>
    </x:row>
    <x:row r="96">
      <x:c r="A96" s="12" t="n">
        <x:v>46313</x:v>
      </x:c>
      <x:c r="B96" s="2" t="str">
        <x:v>日</x:v>
      </x:c>
      <x:c r="C96" s="2" t="str">
        <x:v>P07</x:v>
      </x:c>
      <x:c r="D96" s="2" t="str">
        <x:v>工讀</x:v>
      </x:c>
      <x:c r="E96" s="2" t="str">
        <x:v>待提供</x:v>
      </x:c>
      <x:c r="F96" s="2" t="str">
        <x:v>前週日</x:v>
      </x:c>
      <x:c r="G96" s="15"/>
      <x:c r="H96" s="15"/>
      <x:c r="I96" s="15"/>
      <x:c r="J96" s="15"/>
      <x:c r="K96" s="14"/>
      <x:c r="L96" s="14"/>
      <x:c r="M96" s="14"/>
      <x:c r="N96" s="2"/>
      <x:c r="O96" s="2"/>
      <x:c r="P96" s="11" t="str">
        <x:v>10/18資料未提供；不可視為休假或0小時</x:v>
      </x:c>
    </x:row>
    <x:row r="97">
      <x:c r="A97" s="12" t="n">
        <x:v>46313</x:v>
      </x:c>
      <x:c r="B97" s="2" t="str">
        <x:v>日</x:v>
      </x:c>
      <x:c r="C97" s="2" t="str">
        <x:v>P08</x:v>
      </x:c>
      <x:c r="D97" s="2" t="str">
        <x:v>工讀</x:v>
      </x:c>
      <x:c r="E97" s="2" t="str">
        <x:v>待提供</x:v>
      </x:c>
      <x:c r="F97" s="2" t="str">
        <x:v>前週日</x:v>
      </x:c>
      <x:c r="G97" s="15"/>
      <x:c r="H97" s="15"/>
      <x:c r="I97" s="15"/>
      <x:c r="J97" s="15"/>
      <x:c r="K97" s="14"/>
      <x:c r="L97" s="14"/>
      <x:c r="M97" s="14"/>
      <x:c r="N97" s="2"/>
      <x:c r="O97" s="2"/>
      <x:c r="P97" s="11" t="str">
        <x:v>10/18資料未提供；不可視為休假或0小時</x:v>
      </x:c>
    </x:row>
    <x:row r="98">
      <x:c r="A98" s="12" t="n">
        <x:v>46313</x:v>
      </x:c>
      <x:c r="B98" s="2" t="str">
        <x:v>日</x:v>
      </x:c>
      <x:c r="C98" s="2" t="str">
        <x:v>P09</x:v>
      </x:c>
      <x:c r="D98" s="2" t="str">
        <x:v>工讀</x:v>
      </x:c>
      <x:c r="E98" s="2" t="str">
        <x:v>待提供</x:v>
      </x:c>
      <x:c r="F98" s="2" t="str">
        <x:v>前週日</x:v>
      </x:c>
      <x:c r="G98" s="15"/>
      <x:c r="H98" s="15"/>
      <x:c r="I98" s="15"/>
      <x:c r="J98" s="15"/>
      <x:c r="K98" s="14"/>
      <x:c r="L98" s="14"/>
      <x:c r="M98" s="14"/>
      <x:c r="N98" s="2"/>
      <x:c r="O98" s="2"/>
      <x:c r="P98" s="11" t="str">
        <x:v>10/18資料未提供；不可視為休假或0小時</x:v>
      </x:c>
    </x:row>
    <x:row r="99">
      <x:c r="A99" s="12" t="n">
        <x:v>46313</x:v>
      </x:c>
      <x:c r="B99" s="2" t="str">
        <x:v>日</x:v>
      </x:c>
      <x:c r="C99" s="2" t="str">
        <x:v>P10</x:v>
      </x:c>
      <x:c r="D99" s="2" t="str">
        <x:v>工讀</x:v>
      </x:c>
      <x:c r="E99" s="2" t="str">
        <x:v>待提供</x:v>
      </x:c>
      <x:c r="F99" s="2" t="str">
        <x:v>前週日</x:v>
      </x:c>
      <x:c r="G99" s="15"/>
      <x:c r="H99" s="15"/>
      <x:c r="I99" s="15"/>
      <x:c r="J99" s="15"/>
      <x:c r="K99" s="14"/>
      <x:c r="L99" s="14"/>
      <x:c r="M99" s="14"/>
      <x:c r="N99" s="2"/>
      <x:c r="O99" s="2"/>
      <x:c r="P99" s="11" t="str">
        <x:v>10/18資料未提供；不可視為休假或0小時</x:v>
      </x:c>
    </x:row>
    <x:row r="100">
      <x:c r="A100" s="12" t="n">
        <x:v>46313</x:v>
      </x:c>
      <x:c r="B100" s="2" t="str">
        <x:v>日</x:v>
      </x:c>
      <x:c r="C100" s="2" t="str">
        <x:v>P11</x:v>
      </x:c>
      <x:c r="D100" s="2" t="str">
        <x:v>工讀</x:v>
      </x:c>
      <x:c r="E100" s="2" t="str">
        <x:v>待提供</x:v>
      </x:c>
      <x:c r="F100" s="2" t="str">
        <x:v>前週日</x:v>
      </x:c>
      <x:c r="G100" s="15"/>
      <x:c r="H100" s="15"/>
      <x:c r="I100" s="15"/>
      <x:c r="J100" s="15"/>
      <x:c r="K100" s="14"/>
      <x:c r="L100" s="14"/>
      <x:c r="M100" s="14"/>
      <x:c r="N100" s="2"/>
      <x:c r="O100" s="2"/>
      <x:c r="P100" s="11" t="str">
        <x:v>10/18資料未提供；不可視為休假或0小時</x:v>
      </x:c>
    </x:row>
    <x:row r="101">
      <x:c r="A101" s="12" t="n">
        <x:v>46313</x:v>
      </x:c>
      <x:c r="B101" s="2" t="str">
        <x:v>日</x:v>
      </x:c>
      <x:c r="C101" s="2" t="str">
        <x:v>P12</x:v>
      </x:c>
      <x:c r="D101" s="2" t="str">
        <x:v>新人</x:v>
      </x:c>
      <x:c r="E101" s="2" t="str">
        <x:v>待提供</x:v>
      </x:c>
      <x:c r="F101" s="2" t="str">
        <x:v>前週日</x:v>
      </x:c>
      <x:c r="G101" s="15"/>
      <x:c r="H101" s="15"/>
      <x:c r="I101" s="15"/>
      <x:c r="J101" s="15"/>
      <x:c r="K101" s="14"/>
      <x:c r="L101" s="14"/>
      <x:c r="M101" s="14"/>
      <x:c r="N101" s="2"/>
      <x:c r="O101" s="2"/>
      <x:c r="P101" s="11" t="str">
        <x:v>10/18資料未提供；不可視為休假或0小時</x:v>
      </x:c>
    </x:row>
  </x:sheetData>
  <x:mergeCells>
    <x:mergeCell ref="A1:P1"/>
    <x:mergeCell ref="A2:P3"/>
  </x:mergeCells>
  <x:conditionalFormatting sqref="M6:M82">
    <x:cfRule type="expression" dxfId="0" priority="1">
      <x:formula>$M6&gt;'規則與技能'!$B$10</x:formula>
    </x:cfRule>
  </x:conditionalFormatting>
  <x:conditionalFormatting sqref="A6:P82">
    <x:cfRule type="expression" dxfId="1" priority="2">
      <x:formula>$F6="晚班17＊"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9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46" hidden="0" customWidth="1"/>
    <x:col min="12" max="12" width="34" hidden="0" customWidth="1"/>
  </x:cols>
  <x:sheetData>
    <x:row r="1" ht="38" customHeight="1">
      <x:c r="A1" s="4" t="str">
        <x:v>分時參考｜到班主崗與起班核對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3" customHeight="1">
      <x:c r="A2" s="7" t="str">
        <x:v>G為已到班人數（未扣現場休息，不含新人）；主崗不等於實際休息覆蓋。午晚缺口為此排法結果，非宣稱已窮盡可行排法。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3" ht="23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0" customHeight="1">
      <x:c r="A5" s="10" t="str">
        <x:v>日期</x:v>
      </x:c>
      <x:c r="B5" s="10" t="str">
        <x:v>開始</x:v>
      </x:c>
      <x:c r="C5" s="10" t="str">
        <x:v>結束</x:v>
      </x:c>
      <x:c r="D5" s="10" t="str">
        <x:v>需求類型</x:v>
      </x:c>
      <x:c r="E5" s="10" t="str">
        <x:v>最低</x:v>
      </x:c>
      <x:c r="F5" s="10" t="str">
        <x:v>最高</x:v>
      </x:c>
      <x:c r="G5" s="10" t="str">
        <x:v>到班未扣休息</x:v>
      </x:c>
      <x:c r="H5" s="10" t="str">
        <x:v>人數缺口</x:v>
      </x:c>
      <x:c r="I5" s="10" t="str">
        <x:v>超額人數</x:v>
      </x:c>
      <x:c r="J5" s="10" t="str">
        <x:v>需求配置缺口</x:v>
      </x:c>
      <x:c r="K5" s="10" t="str">
        <x:v>主崗配置</x:v>
      </x:c>
      <x:c r="L5" s="10" t="str">
        <x:v>檢查狀態</x:v>
      </x:c>
    </x:row>
    <x:row r="6" ht="42" customHeight="1">
      <x:c r="A6" s="12" t="n">
        <x:v>46314</x:v>
      </x:c>
      <x:c r="B6" s="13" t="n">
        <x:v>0.4166666666666667</x:v>
      </x:c>
      <x:c r="C6" s="13" t="n">
        <x:v>0.4375</x:v>
      </x:c>
      <x:c r="D6" s="2" t="str">
        <x:v>營運參考</x:v>
      </x:c>
      <x:c r="E6" s="2" t="n">
        <x:v>1</x:v>
      </x:c>
      <x:c r="F6" s="2"/>
      <x:c r="G6" s="2" t="n">
        <x:f>IF(AND('班次明細'!L6&gt;0,'班次明細'!G6&lt;=B6,'班次明細'!H6&gt;=C6),1,0)+IF(AND('班次明細'!L13&gt;0,'班次明細'!G13&lt;=B6,'班次明細'!H13&gt;=C6),1,0)+IF(AND('班次明細'!L20&gt;0,'班次明細'!G20&lt;=B6,'班次明細'!H20&gt;=C6),1,0)+IF(AND('班次明細'!L27&gt;0,'班次明細'!G27&lt;=B6,'班次明細'!H27&gt;=C6),1,0)+IF(AND('班次明細'!L34&gt;0,'班次明細'!G34&lt;=B6,'班次明細'!H34&gt;=C6),1,0)+IF(AND('班次明細'!L41&gt;0,'班次明細'!G41&lt;=B6,'班次明細'!H41&gt;=C6),1,0)+IF(AND('班次明細'!L48&gt;0,'班次明細'!G48&lt;=B6,'班次明細'!H48&gt;=C6),1,0)+IF(AND('班次明細'!L55&gt;0,'班次明細'!G55&lt;=B6,'班次明細'!H55&gt;=C6),1,0)+IF(AND('班次明細'!L62&gt;0,'班次明細'!G62&lt;=B6,'班次明細'!H62&gt;=C6),1,0)+IF(AND('班次明細'!L69&gt;0,'班次明細'!G69&lt;=B6,'班次明細'!H69&gt;=C6),1,0)+IF(AND('班次明細'!L76&gt;0,'班次明細'!G76&lt;=B6,'班次明細'!H76&gt;=C6),1,0)</x:f>
        <x:v>1</x:v>
      </x:c>
      <x:c r="H6" s="2" t="n">
        <x:f>MAX(0,E6-G6)</x:f>
        <x:v>0</x:v>
      </x:c>
      <x:c r="I6" s="2" t="n">
        <x:f>IF(F6="",0,MAX(0,G6-F6))</x:f>
        <x:v>0</x:v>
      </x:c>
      <x:c r="J6" s="2" t="n">
        <x:v>0</x:v>
      </x:c>
      <x:c r="K6" s="11" t="str">
        <x:v>—</x:v>
      </x:c>
      <x:c r="L6" s="11" t="str">
        <x:f>"營運參考"</x:f>
        <x:v>營運參考</x:v>
      </x:c>
    </x:row>
    <x:row r="7" ht="42" customHeight="1">
      <x:c r="A7" s="12" t="n">
        <x:v>46314</x:v>
      </x:c>
      <x:c r="B7" s="13" t="n">
        <x:v>0.4375</x:v>
      </x:c>
      <x:c r="C7" s="13" t="n">
        <x:v>0.4583333333333333</x:v>
      </x:c>
      <x:c r="D7" s="2" t="str">
        <x:v>營運參考</x:v>
      </x:c>
      <x:c r="E7" s="2" t="n">
        <x:v>1</x:v>
      </x:c>
      <x:c r="F7" s="2"/>
      <x:c r="G7" s="2" t="n">
        <x:f>IF(AND('班次明細'!L6&gt;0,'班次明細'!G6&lt;=B7,'班次明細'!H6&gt;=C7),1,0)+IF(AND('班次明細'!L13&gt;0,'班次明細'!G13&lt;=B7,'班次明細'!H13&gt;=C7),1,0)+IF(AND('班次明細'!L20&gt;0,'班次明細'!G20&lt;=B7,'班次明細'!H20&gt;=C7),1,0)+IF(AND('班次明細'!L27&gt;0,'班次明細'!G27&lt;=B7,'班次明細'!H27&gt;=C7),1,0)+IF(AND('班次明細'!L34&gt;0,'班次明細'!G34&lt;=B7,'班次明細'!H34&gt;=C7),1,0)+IF(AND('班次明細'!L41&gt;0,'班次明細'!G41&lt;=B7,'班次明細'!H41&gt;=C7),1,0)+IF(AND('班次明細'!L48&gt;0,'班次明細'!G48&lt;=B7,'班次明細'!H48&gt;=C7),1,0)+IF(AND('班次明細'!L55&gt;0,'班次明細'!G55&lt;=B7,'班次明細'!H55&gt;=C7),1,0)+IF(AND('班次明細'!L62&gt;0,'班次明細'!G62&lt;=B7,'班次明細'!H62&gt;=C7),1,0)+IF(AND('班次明細'!L69&gt;0,'班次明細'!G69&lt;=B7,'班次明細'!H69&gt;=C7),1,0)+IF(AND('班次明細'!L76&gt;0,'班次明細'!G76&lt;=B7,'班次明細'!H76&gt;=C7),1,0)</x:f>
        <x:v>1</x:v>
      </x:c>
      <x:c r="H7" s="2" t="n">
        <x:f>MAX(0,E7-G7)</x:f>
        <x:v>0</x:v>
      </x:c>
      <x:c r="I7" s="2" t="n">
        <x:f>IF(F7="",0,MAX(0,G7-F7))</x:f>
        <x:v>0</x:v>
      </x:c>
      <x:c r="J7" s="2" t="n">
        <x:v>0</x:v>
      </x:c>
      <x:c r="K7" s="11" t="str">
        <x:v>—</x:v>
      </x:c>
      <x:c r="L7" s="11" t="str">
        <x:f>"營運參考"</x:f>
        <x:v>營運參考</x:v>
      </x:c>
    </x:row>
    <x:row r="8" ht="42" customHeight="1">
      <x:c r="A8" s="12" t="n">
        <x:v>46314</x:v>
      </x:c>
      <x:c r="B8" s="13" t="n">
        <x:v>0.4583333333333333</x:v>
      </x:c>
      <x:c r="C8" s="13" t="n">
        <x:v>0.4791666666666667</x:v>
      </x:c>
      <x:c r="D8" s="2" t="str">
        <x:v>營運參考</x:v>
      </x:c>
      <x:c r="E8" s="2" t="n">
        <x:v>0</x:v>
      </x:c>
      <x:c r="F8" s="2"/>
      <x:c r="G8" s="2" t="n">
        <x:f>IF(AND('班次明細'!L6&gt;0,'班次明細'!G6&lt;=B8,'班次明細'!H6&gt;=C8),1,0)+IF(AND('班次明細'!L13&gt;0,'班次明細'!G13&lt;=B8,'班次明細'!H13&gt;=C8),1,0)+IF(AND('班次明細'!L20&gt;0,'班次明細'!G20&lt;=B8,'班次明細'!H20&gt;=C8),1,0)+IF(AND('班次明細'!L27&gt;0,'班次明細'!G27&lt;=B8,'班次明細'!H27&gt;=C8),1,0)+IF(AND('班次明細'!L34&gt;0,'班次明細'!G34&lt;=B8,'班次明細'!H34&gt;=C8),1,0)+IF(AND('班次明細'!L41&gt;0,'班次明細'!G41&lt;=B8,'班次明細'!H41&gt;=C8),1,0)+IF(AND('班次明細'!L48&gt;0,'班次明細'!G48&lt;=B8,'班次明細'!H48&gt;=C8),1,0)+IF(AND('班次明細'!L55&gt;0,'班次明細'!G55&lt;=B8,'班次明細'!H55&gt;=C8),1,0)+IF(AND('班次明細'!L62&gt;0,'班次明細'!G62&lt;=B8,'班次明細'!H62&gt;=C8),1,0)+IF(AND('班次明細'!L69&gt;0,'班次明細'!G69&lt;=B8,'班次明細'!H69&gt;=C8),1,0)+IF(AND('班次明細'!L76&gt;0,'班次明細'!G76&lt;=B8,'班次明細'!H76&gt;=C8),1,0)</x:f>
        <x:v>2</x:v>
      </x:c>
      <x:c r="H8" s="2" t="n">
        <x:f>MAX(0,E8-G8)</x:f>
        <x:v>0</x:v>
      </x:c>
      <x:c r="I8" s="2" t="n">
        <x:f>IF(F8="",0,MAX(0,G8-F8))</x:f>
        <x:v>0</x:v>
      </x:c>
      <x:c r="J8" s="2" t="n">
        <x:v>0</x:v>
      </x:c>
      <x:c r="K8" s="11" t="str">
        <x:v>—</x:v>
      </x:c>
      <x:c r="L8" s="11" t="str">
        <x:f>"營運參考"</x:f>
        <x:v>營運參考</x:v>
      </x:c>
    </x:row>
    <x:row r="9" ht="42" customHeight="1">
      <x:c r="A9" s="12" t="n">
        <x:v>46314</x:v>
      </x:c>
      <x:c r="B9" s="13" t="n">
        <x:v>0.4791666666666667</x:v>
      </x:c>
      <x:c r="C9" s="13" t="n">
        <x:v>0.5</x:v>
      </x:c>
      <x:c r="D9" s="2" t="str">
        <x:v>營運參考</x:v>
      </x:c>
      <x:c r="E9" s="2" t="n">
        <x:v>0</x:v>
      </x:c>
      <x:c r="F9" s="2"/>
      <x:c r="G9" s="2" t="n">
        <x:f>IF(AND('班次明細'!L6&gt;0,'班次明細'!G6&lt;=B9,'班次明細'!H6&gt;=C9),1,0)+IF(AND('班次明細'!L13&gt;0,'班次明細'!G13&lt;=B9,'班次明細'!H13&gt;=C9),1,0)+IF(AND('班次明細'!L20&gt;0,'班次明細'!G20&lt;=B9,'班次明細'!H20&gt;=C9),1,0)+IF(AND('班次明細'!L27&gt;0,'班次明細'!G27&lt;=B9,'班次明細'!H27&gt;=C9),1,0)+IF(AND('班次明細'!L34&gt;0,'班次明細'!G34&lt;=B9,'班次明細'!H34&gt;=C9),1,0)+IF(AND('班次明細'!L41&gt;0,'班次明細'!G41&lt;=B9,'班次明細'!H41&gt;=C9),1,0)+IF(AND('班次明細'!L48&gt;0,'班次明細'!G48&lt;=B9,'班次明細'!H48&gt;=C9),1,0)+IF(AND('班次明細'!L55&gt;0,'班次明細'!G55&lt;=B9,'班次明細'!H55&gt;=C9),1,0)+IF(AND('班次明細'!L62&gt;0,'班次明細'!G62&lt;=B9,'班次明細'!H62&gt;=C9),1,0)+IF(AND('班次明細'!L69&gt;0,'班次明細'!G69&lt;=B9,'班次明細'!H69&gt;=C9),1,0)+IF(AND('班次明細'!L76&gt;0,'班次明細'!G76&lt;=B9,'班次明細'!H76&gt;=C9),1,0)</x:f>
        <x:v>4</x:v>
      </x:c>
      <x:c r="H9" s="2" t="n">
        <x:f>MAX(0,E9-G9)</x:f>
        <x:v>0</x:v>
      </x:c>
      <x:c r="I9" s="2" t="n">
        <x:f>IF(F9="",0,MAX(0,G9-F9))</x:f>
        <x:v>0</x:v>
      </x:c>
      <x:c r="J9" s="2" t="n">
        <x:v>0</x:v>
      </x:c>
      <x:c r="K9" s="11" t="str">
        <x:v>—</x:v>
      </x:c>
      <x:c r="L9" s="11" t="str">
        <x:f>"營運參考"</x:f>
        <x:v>營運參考</x:v>
      </x:c>
    </x:row>
    <x:row r="10" ht="42" customHeight="1">
      <x:c r="A10" s="12" t="n">
        <x:v>46314</x:v>
      </x:c>
      <x:c r="B10" s="13" t="n">
        <x:v>0.5</x:v>
      </x:c>
      <x:c r="C10" s="13" t="n">
        <x:v>0.5208333333333334</x:v>
      </x:c>
      <x:c r="D10" s="2" t="str">
        <x:v>午餐主崗</x:v>
      </x:c>
      <x:c r="E10" s="2" t="n">
        <x:v>4</x:v>
      </x:c>
      <x:c r="F10" s="2" t="n">
        <x:v>4</x:v>
      </x:c>
      <x:c r="G10" s="2" t="n">
        <x:f>IF(AND('班次明細'!L6&gt;0,'班次明細'!G6&lt;=B10,'班次明細'!H6&gt;=C10),1,0)+IF(AND('班次明細'!L13&gt;0,'班次明細'!G13&lt;=B10,'班次明細'!H13&gt;=C10),1,0)+IF(AND('班次明細'!L20&gt;0,'班次明細'!G20&lt;=B10,'班次明細'!H20&gt;=C10),1,0)+IF(AND('班次明細'!L27&gt;0,'班次明細'!G27&lt;=B10,'班次明細'!H27&gt;=C10),1,0)+IF(AND('班次明細'!L34&gt;0,'班次明細'!G34&lt;=B10,'班次明細'!H34&gt;=C10),1,0)+IF(AND('班次明細'!L41&gt;0,'班次明細'!G41&lt;=B10,'班次明細'!H41&gt;=C10),1,0)+IF(AND('班次明細'!L48&gt;0,'班次明細'!G48&lt;=B10,'班次明細'!H48&gt;=C10),1,0)+IF(AND('班次明細'!L55&gt;0,'班次明細'!G55&lt;=B10,'班次明細'!H55&gt;=C10),1,0)+IF(AND('班次明細'!L62&gt;0,'班次明細'!G62&lt;=B10,'班次明細'!H62&gt;=C10),1,0)+IF(AND('班次明細'!L69&gt;0,'班次明細'!G69&lt;=B10,'班次明細'!H69&gt;=C10),1,0)+IF(AND('班次明細'!L76&gt;0,'班次明細'!G76&lt;=B10,'班次明細'!H76&gt;=C10),1,0)</x:f>
        <x:v>4</x:v>
      </x:c>
      <x:c r="H10" s="2" t="n">
        <x:f>MAX(0,E10-G10)</x:f>
        <x:v>0</x:v>
      </x:c>
      <x:c r="I10" s="2" t="n">
        <x:f>IF(F10="",0,MAX(0,G10-F10))</x:f>
        <x:v>0</x:v>
      </x:c>
      <x:c r="J10" s="2" t="n">
        <x:f>IF((IF(LEFT('班次明細'!O6,2)="外場",IF(AND('班次明細'!L6&gt;0,'班次明細'!G6&lt;=B10,'班次明細'!H6&gt;=C10),1,0),0)+IF(LEFT('班次明細'!O13,2)="外場",IF(AND('班次明細'!L13&gt;0,'班次明細'!G13&lt;=B10,'班次明細'!H13&gt;=C10),1,0),0)+IF(LEFT('班次明細'!O20,2)="外場",IF(AND('班次明細'!L20&gt;0,'班次明細'!G20&lt;=B10,'班次明細'!H20&gt;=C10),1,0),0)+IF(LEFT('班次明細'!O27,2)="外場",IF(AND('班次明細'!L27&gt;0,'班次明細'!G27&lt;=B10,'班次明細'!H27&gt;=C10),1,0),0)+IF(LEFT('班次明細'!O34,2)="外場",IF(AND('班次明細'!L34&gt;0,'班次明細'!G34&lt;=B10,'班次明細'!H34&gt;=C10),1,0),0)+IF(LEFT('班次明細'!O41,2)="外場",IF(AND('班次明細'!L41&gt;0,'班次明細'!G41&lt;=B10,'班次明細'!H41&gt;=C10),1,0),0)+IF(LEFT('班次明細'!O48,2)="外場",IF(AND('班次明細'!L48&gt;0,'班次明細'!G48&lt;=B10,'班次明細'!H48&gt;=C10),1,0),0)+IF(LEFT('班次明細'!O55,2)="外場",IF(AND('班次明細'!L55&gt;0,'班次明細'!G55&lt;=B10,'班次明細'!H55&gt;=C10),1,0),0)+IF(LEFT('班次明細'!O62,2)="外場",IF(AND('班次明細'!L62&gt;0,'班次明細'!G62&lt;=B10,'班次明細'!H62&gt;=C10),1,0),0)+IF(LEFT('班次明細'!O69,2)="外場",IF(AND('班次明細'!L69&gt;0,'班次明細'!G69&lt;=B10,'班次明細'!H69&gt;=C10),1,0),0)+IF(LEFT('班次明細'!O76,2)="外場",IF(AND('班次明細'!L76&gt;0,'班次明細'!G76&lt;=B10,'班次明細'!H76&gt;=C10),1,0),0))&gt;0,0,1)+IF((IF(LEFT('班次明細'!O6,2)="吧台",IF(AND('班次明細'!L6&gt;0,'班次明細'!G6&lt;=B10,'班次明細'!H6&gt;=C10),1,0),0)+IF(LEFT('班次明細'!O13,2)="吧台",IF(AND('班次明細'!L13&gt;0,'班次明細'!G13&lt;=B10,'班次明細'!H13&gt;=C10),1,0),0)+IF(LEFT('班次明細'!O20,2)="吧台",IF(AND('班次明細'!L20&gt;0,'班次明細'!G20&lt;=B10,'班次明細'!H20&gt;=C10),1,0),0)+IF(LEFT('班次明細'!O27,2)="吧台",IF(AND('班次明細'!L27&gt;0,'班次明細'!G27&lt;=B10,'班次明細'!H27&gt;=C10),1,0),0)+IF(LEFT('班次明細'!O34,2)="吧台",IF(AND('班次明細'!L34&gt;0,'班次明細'!G34&lt;=B10,'班次明細'!H34&gt;=C10),1,0),0)+IF(LEFT('班次明細'!O41,2)="吧台",IF(AND('班次明細'!L41&gt;0,'班次明細'!G41&lt;=B10,'班次明細'!H41&gt;=C10),1,0),0)+IF(LEFT('班次明細'!O48,2)="吧台",IF(AND('班次明細'!L48&gt;0,'班次明細'!G48&lt;=B10,'班次明細'!H48&gt;=C10),1,0),0)+IF(LEFT('班次明細'!O55,2)="吧台",IF(AND('班次明細'!L55&gt;0,'班次明細'!G55&lt;=B10,'班次明細'!H55&gt;=C10),1,0),0)+IF(LEFT('班次明細'!O62,2)="吧台",IF(AND('班次明細'!L62&gt;0,'班次明細'!G62&lt;=B10,'班次明細'!H62&gt;=C10),1,0),0)+IF(LEFT('班次明細'!O69,2)="吧台",IF(AND('班次明細'!L69&gt;0,'班次明細'!G69&lt;=B10,'班次明細'!H69&gt;=C10),1,0),0)+IF(LEFT('班次明細'!O76,2)="吧台",IF(AND('班次明細'!L76&gt;0,'班次明細'!G76&lt;=B10,'班次明細'!H76&gt;=C10),1,0),0))&gt;0,0,1)+MAX(0,2-(IF(LEFT('班次明細'!O6,2)="司爐",IF(AND('班次明細'!L6&gt;0,'班次明細'!G6&lt;=B10,'班次明細'!H6&gt;=C10),1,0),0)+IF(LEFT('班次明細'!O13,2)="司爐",IF(AND('班次明細'!L13&gt;0,'班次明細'!G13&lt;=B10,'班次明細'!H13&gt;=C10),1,0),0)+IF(LEFT('班次明細'!O20,2)="司爐",IF(AND('班次明細'!L20&gt;0,'班次明細'!G20&lt;=B10,'班次明細'!H20&gt;=C10),1,0),0)+IF(LEFT('班次明細'!O27,2)="司爐",IF(AND('班次明細'!L27&gt;0,'班次明細'!G27&lt;=B10,'班次明細'!H27&gt;=C10),1,0),0)+IF(LEFT('班次明細'!O34,2)="司爐",IF(AND('班次明細'!L34&gt;0,'班次明細'!G34&lt;=B10,'班次明細'!H34&gt;=C10),1,0),0)+IF(LEFT('班次明細'!O41,2)="司爐",IF(AND('班次明細'!L41&gt;0,'班次明細'!G41&lt;=B10,'班次明細'!H41&gt;=C10),1,0),0)+IF(LEFT('班次明細'!O48,2)="司爐",IF(AND('班次明細'!L48&gt;0,'班次明細'!G48&lt;=B10,'班次明細'!H48&gt;=C10),1,0),0)+IF(LEFT('班次明細'!O55,2)="司爐",IF(AND('班次明細'!L55&gt;0,'班次明細'!G55&lt;=B10,'班次明細'!H55&gt;=C10),1,0),0)+IF(LEFT('班次明細'!O62,2)="司爐",IF(AND('班次明細'!L62&gt;0,'班次明細'!G62&lt;=B10,'班次明細'!H62&gt;=C10),1,0),0)+IF(LEFT('班次明細'!O69,2)="司爐",IF(AND('班次明細'!L69&gt;0,'班次明細'!G69&lt;=B10,'班次明細'!H69&gt;=C10),1,0),0)+IF(LEFT('班次明細'!O76,2)="司爐",IF(AND('班次明細'!L76&gt;0,'班次明細'!G76&lt;=B10,'班次明細'!H76&gt;=C10),1,0),0)+IF(LEFT('班次明細'!O6,2)="料區",IF(AND('班次明細'!L6&gt;0,'班次明細'!G6&lt;=B10,'班次明細'!H6&gt;=C10),1,0),0)+IF(LEFT('班次明細'!O13,2)="料區",IF(AND('班次明細'!L13&gt;0,'班次明細'!G13&lt;=B10,'班次明細'!H13&gt;=C10),1,0),0)+IF(LEFT('班次明細'!O20,2)="料區",IF(AND('班次明細'!L20&gt;0,'班次明細'!G20&lt;=B10,'班次明細'!H20&gt;=C10),1,0),0)+IF(LEFT('班次明細'!O27,2)="料區",IF(AND('班次明細'!L27&gt;0,'班次明細'!G27&lt;=B10,'班次明細'!H27&gt;=C10),1,0),0)+IF(LEFT('班次明細'!O34,2)="料區",IF(AND('班次明細'!L34&gt;0,'班次明細'!G34&lt;=B10,'班次明細'!H34&gt;=C10),1,0),0)+IF(LEFT('班次明細'!O41,2)="料區",IF(AND('班次明細'!L41&gt;0,'班次明細'!G41&lt;=B10,'班次明細'!H41&gt;=C10),1,0),0)+IF(LEFT('班次明細'!O48,2)="料區",IF(AND('班次明細'!L48&gt;0,'班次明細'!G48&lt;=B10,'班次明細'!H48&gt;=C10),1,0),0)+IF(LEFT('班次明細'!O55,2)="料區",IF(AND('班次明細'!L55&gt;0,'班次明細'!G55&lt;=B10,'班次明細'!H55&gt;=C10),1,0),0)+IF(LEFT('班次明細'!O62,2)="料區",IF(AND('班次明細'!L62&gt;0,'班次明細'!G62&lt;=B10,'班次明細'!H62&gt;=C10),1,0),0)+IF(LEFT('班次明細'!O69,2)="料區",IF(AND('班次明細'!L69&gt;0,'班次明細'!G69&lt;=B10,'班次明細'!H69&gt;=C10),1,0),0)+IF(LEFT('班次明細'!O76,2)="料區",IF(AND('班次明細'!L76&gt;0,'班次明細'!G76&lt;=B10,'班次明細'!H76&gt;=C10),1,0),0)+IF(LEFT('班次明細'!O6,2)="炸區",IF(AND('班次明細'!L6&gt;0,'班次明細'!G6&lt;=B10,'班次明細'!H6&gt;=C10),1,0),0)+IF(LEFT('班次明細'!O13,2)="炸區",IF(AND('班次明細'!L13&gt;0,'班次明細'!G13&lt;=B10,'班次明細'!H13&gt;=C10),1,0),0)+IF(LEFT('班次明細'!O20,2)="炸區",IF(AND('班次明細'!L20&gt;0,'班次明細'!G20&lt;=B10,'班次明細'!H20&gt;=C10),1,0),0)+IF(LEFT('班次明細'!O27,2)="炸區",IF(AND('班次明細'!L27&gt;0,'班次明細'!G27&lt;=B10,'班次明細'!H27&gt;=C10),1,0),0)+IF(LEFT('班次明細'!O34,2)="炸區",IF(AND('班次明細'!L34&gt;0,'班次明細'!G34&lt;=B10,'班次明細'!H34&gt;=C10),1,0),0)+IF(LEFT('班次明細'!O41,2)="炸區",IF(AND('班次明細'!L41&gt;0,'班次明細'!G41&lt;=B10,'班次明細'!H41&gt;=C10),1,0),0)+IF(LEFT('班次明細'!O48,2)="炸區",IF(AND('班次明細'!L48&gt;0,'班次明細'!G48&lt;=B10,'班次明細'!H48&gt;=C10),1,0),0)+IF(LEFT('班次明細'!O55,2)="炸區",IF(AND('班次明細'!L55&gt;0,'班次明細'!G55&lt;=B10,'班次明細'!H55&gt;=C10),1,0),0)+IF(LEFT('班次明細'!O62,2)="炸區",IF(AND('班次明細'!L62&gt;0,'班次明細'!G62&lt;=B10,'班次明細'!H62&gt;=C10),1,0),0)+IF(LEFT('班次明細'!O69,2)="炸區",IF(AND('班次明細'!L69&gt;0,'班次明細'!G69&lt;=B10,'班次明細'!H69&gt;=C10),1,0),0)+IF(LEFT('班次明細'!O76,2)="炸區",IF(AND('班次明細'!L76&gt;0,'班次明細'!G76&lt;=B10,'班次明細'!H76&gt;=C10),1,0),0)))</x:f>
        <x:v>0</x:v>
      </x:c>
      <x:c r="K10" s="11" t="str">
        <x:v>P01:外場；P02:吧台；P07:料區；P10:司爐</x:v>
      </x:c>
      <x:c r="L10" s="11" t="str">
        <x:f>IF(OR(H10&gt;0,I10&gt;0,J10&gt;0),"缺口／超額待處理","主崗齊；休息待現場")</x:f>
        <x:v>主崗齊；休息待現場</x:v>
      </x:c>
    </x:row>
    <x:row r="11" ht="42" customHeight="1">
      <x:c r="A11" s="12" t="n">
        <x:v>46314</x:v>
      </x:c>
      <x:c r="B11" s="13" t="n">
        <x:v>0.5208333333333334</x:v>
      </x:c>
      <x:c r="C11" s="13" t="n">
        <x:v>0.5416666666666666</x:v>
      </x:c>
      <x:c r="D11" s="2" t="str">
        <x:v>午餐主崗</x:v>
      </x:c>
      <x:c r="E11" s="2" t="n">
        <x:v>4</x:v>
      </x:c>
      <x:c r="F11" s="2" t="n">
        <x:v>4</x:v>
      </x:c>
      <x:c r="G11" s="2" t="n">
        <x:f>IF(AND('班次明細'!L6&gt;0,'班次明細'!G6&lt;=B11,'班次明細'!H6&gt;=C11),1,0)+IF(AND('班次明細'!L13&gt;0,'班次明細'!G13&lt;=B11,'班次明細'!H13&gt;=C11),1,0)+IF(AND('班次明細'!L20&gt;0,'班次明細'!G20&lt;=B11,'班次明細'!H20&gt;=C11),1,0)+IF(AND('班次明細'!L27&gt;0,'班次明細'!G27&lt;=B11,'班次明細'!H27&gt;=C11),1,0)+IF(AND('班次明細'!L34&gt;0,'班次明細'!G34&lt;=B11,'班次明細'!H34&gt;=C11),1,0)+IF(AND('班次明細'!L41&gt;0,'班次明細'!G41&lt;=B11,'班次明細'!H41&gt;=C11),1,0)+IF(AND('班次明細'!L48&gt;0,'班次明細'!G48&lt;=B11,'班次明細'!H48&gt;=C11),1,0)+IF(AND('班次明細'!L55&gt;0,'班次明細'!G55&lt;=B11,'班次明細'!H55&gt;=C11),1,0)+IF(AND('班次明細'!L62&gt;0,'班次明細'!G62&lt;=B11,'班次明細'!H62&gt;=C11),1,0)+IF(AND('班次明細'!L69&gt;0,'班次明細'!G69&lt;=B11,'班次明細'!H69&gt;=C11),1,0)+IF(AND('班次明細'!L76&gt;0,'班次明細'!G76&lt;=B11,'班次明細'!H76&gt;=C11),1,0)</x:f>
        <x:v>4</x:v>
      </x:c>
      <x:c r="H11" s="2" t="n">
        <x:f>MAX(0,E11-G11)</x:f>
        <x:v>0</x:v>
      </x:c>
      <x:c r="I11" s="2" t="n">
        <x:f>IF(F11="",0,MAX(0,G11-F11))</x:f>
        <x:v>0</x:v>
      </x:c>
      <x:c r="J11" s="2" t="n">
        <x:f>IF((IF(LEFT('班次明細'!O6,2)="外場",IF(AND('班次明細'!L6&gt;0,'班次明細'!G6&lt;=B11,'班次明細'!H6&gt;=C11),1,0),0)+IF(LEFT('班次明細'!O13,2)="外場",IF(AND('班次明細'!L13&gt;0,'班次明細'!G13&lt;=B11,'班次明細'!H13&gt;=C11),1,0),0)+IF(LEFT('班次明細'!O20,2)="外場",IF(AND('班次明細'!L20&gt;0,'班次明細'!G20&lt;=B11,'班次明細'!H20&gt;=C11),1,0),0)+IF(LEFT('班次明細'!O27,2)="外場",IF(AND('班次明細'!L27&gt;0,'班次明細'!G27&lt;=B11,'班次明細'!H27&gt;=C11),1,0),0)+IF(LEFT('班次明細'!O34,2)="外場",IF(AND('班次明細'!L34&gt;0,'班次明細'!G34&lt;=B11,'班次明細'!H34&gt;=C11),1,0),0)+IF(LEFT('班次明細'!O41,2)="外場",IF(AND('班次明細'!L41&gt;0,'班次明細'!G41&lt;=B11,'班次明細'!H41&gt;=C11),1,0),0)+IF(LEFT('班次明細'!O48,2)="外場",IF(AND('班次明細'!L48&gt;0,'班次明細'!G48&lt;=B11,'班次明細'!H48&gt;=C11),1,0),0)+IF(LEFT('班次明細'!O55,2)="外場",IF(AND('班次明細'!L55&gt;0,'班次明細'!G55&lt;=B11,'班次明細'!H55&gt;=C11),1,0),0)+IF(LEFT('班次明細'!O62,2)="外場",IF(AND('班次明細'!L62&gt;0,'班次明細'!G62&lt;=B11,'班次明細'!H62&gt;=C11),1,0),0)+IF(LEFT('班次明細'!O69,2)="外場",IF(AND('班次明細'!L69&gt;0,'班次明細'!G69&lt;=B11,'班次明細'!H69&gt;=C11),1,0),0)+IF(LEFT('班次明細'!O76,2)="外場",IF(AND('班次明細'!L76&gt;0,'班次明細'!G76&lt;=B11,'班次明細'!H76&gt;=C11),1,0),0))&gt;0,0,1)+IF((IF(LEFT('班次明細'!O6,2)="吧台",IF(AND('班次明細'!L6&gt;0,'班次明細'!G6&lt;=B11,'班次明細'!H6&gt;=C11),1,0),0)+IF(LEFT('班次明細'!O13,2)="吧台",IF(AND('班次明細'!L13&gt;0,'班次明細'!G13&lt;=B11,'班次明細'!H13&gt;=C11),1,0),0)+IF(LEFT('班次明細'!O20,2)="吧台",IF(AND('班次明細'!L20&gt;0,'班次明細'!G20&lt;=B11,'班次明細'!H20&gt;=C11),1,0),0)+IF(LEFT('班次明細'!O27,2)="吧台",IF(AND('班次明細'!L27&gt;0,'班次明細'!G27&lt;=B11,'班次明細'!H27&gt;=C11),1,0),0)+IF(LEFT('班次明細'!O34,2)="吧台",IF(AND('班次明細'!L34&gt;0,'班次明細'!G34&lt;=B11,'班次明細'!H34&gt;=C11),1,0),0)+IF(LEFT('班次明細'!O41,2)="吧台",IF(AND('班次明細'!L41&gt;0,'班次明細'!G41&lt;=B11,'班次明細'!H41&gt;=C11),1,0),0)+IF(LEFT('班次明細'!O48,2)="吧台",IF(AND('班次明細'!L48&gt;0,'班次明細'!G48&lt;=B11,'班次明細'!H48&gt;=C11),1,0),0)+IF(LEFT('班次明細'!O55,2)="吧台",IF(AND('班次明細'!L55&gt;0,'班次明細'!G55&lt;=B11,'班次明細'!H55&gt;=C11),1,0),0)+IF(LEFT('班次明細'!O62,2)="吧台",IF(AND('班次明細'!L62&gt;0,'班次明細'!G62&lt;=B11,'班次明細'!H62&gt;=C11),1,0),0)+IF(LEFT('班次明細'!O69,2)="吧台",IF(AND('班次明細'!L69&gt;0,'班次明細'!G69&lt;=B11,'班次明細'!H69&gt;=C11),1,0),0)+IF(LEFT('班次明細'!O76,2)="吧台",IF(AND('班次明細'!L76&gt;0,'班次明細'!G76&lt;=B11,'班次明細'!H76&gt;=C11),1,0),0))&gt;0,0,1)+MAX(0,2-(IF(LEFT('班次明細'!O6,2)="司爐",IF(AND('班次明細'!L6&gt;0,'班次明細'!G6&lt;=B11,'班次明細'!H6&gt;=C11),1,0),0)+IF(LEFT('班次明細'!O13,2)="司爐",IF(AND('班次明細'!L13&gt;0,'班次明細'!G13&lt;=B11,'班次明細'!H13&gt;=C11),1,0),0)+IF(LEFT('班次明細'!O20,2)="司爐",IF(AND('班次明細'!L20&gt;0,'班次明細'!G20&lt;=B11,'班次明細'!H20&gt;=C11),1,0),0)+IF(LEFT('班次明細'!O27,2)="司爐",IF(AND('班次明細'!L27&gt;0,'班次明細'!G27&lt;=B11,'班次明細'!H27&gt;=C11),1,0),0)+IF(LEFT('班次明細'!O34,2)="司爐",IF(AND('班次明細'!L34&gt;0,'班次明細'!G34&lt;=B11,'班次明細'!H34&gt;=C11),1,0),0)+IF(LEFT('班次明細'!O41,2)="司爐",IF(AND('班次明細'!L41&gt;0,'班次明細'!G41&lt;=B11,'班次明細'!H41&gt;=C11),1,0),0)+IF(LEFT('班次明細'!O48,2)="司爐",IF(AND('班次明細'!L48&gt;0,'班次明細'!G48&lt;=B11,'班次明細'!H48&gt;=C11),1,0),0)+IF(LEFT('班次明細'!O55,2)="司爐",IF(AND('班次明細'!L55&gt;0,'班次明細'!G55&lt;=B11,'班次明細'!H55&gt;=C11),1,0),0)+IF(LEFT('班次明細'!O62,2)="司爐",IF(AND('班次明細'!L62&gt;0,'班次明細'!G62&lt;=B11,'班次明細'!H62&gt;=C11),1,0),0)+IF(LEFT('班次明細'!O69,2)="司爐",IF(AND('班次明細'!L69&gt;0,'班次明細'!G69&lt;=B11,'班次明細'!H69&gt;=C11),1,0),0)+IF(LEFT('班次明細'!O76,2)="司爐",IF(AND('班次明細'!L76&gt;0,'班次明細'!G76&lt;=B11,'班次明細'!H76&gt;=C11),1,0),0)+IF(LEFT('班次明細'!O6,2)="料區",IF(AND('班次明細'!L6&gt;0,'班次明細'!G6&lt;=B11,'班次明細'!H6&gt;=C11),1,0),0)+IF(LEFT('班次明細'!O13,2)="料區",IF(AND('班次明細'!L13&gt;0,'班次明細'!G13&lt;=B11,'班次明細'!H13&gt;=C11),1,0),0)+IF(LEFT('班次明細'!O20,2)="料區",IF(AND('班次明細'!L20&gt;0,'班次明細'!G20&lt;=B11,'班次明細'!H20&gt;=C11),1,0),0)+IF(LEFT('班次明細'!O27,2)="料區",IF(AND('班次明細'!L27&gt;0,'班次明細'!G27&lt;=B11,'班次明細'!H27&gt;=C11),1,0),0)+IF(LEFT('班次明細'!O34,2)="料區",IF(AND('班次明細'!L34&gt;0,'班次明細'!G34&lt;=B11,'班次明細'!H34&gt;=C11),1,0),0)+IF(LEFT('班次明細'!O41,2)="料區",IF(AND('班次明細'!L41&gt;0,'班次明細'!G41&lt;=B11,'班次明細'!H41&gt;=C11),1,0),0)+IF(LEFT('班次明細'!O48,2)="料區",IF(AND('班次明細'!L48&gt;0,'班次明細'!G48&lt;=B11,'班次明細'!H48&gt;=C11),1,0),0)+IF(LEFT('班次明細'!O55,2)="料區",IF(AND('班次明細'!L55&gt;0,'班次明細'!G55&lt;=B11,'班次明細'!H55&gt;=C11),1,0),0)+IF(LEFT('班次明細'!O62,2)="料區",IF(AND('班次明細'!L62&gt;0,'班次明細'!G62&lt;=B11,'班次明細'!H62&gt;=C11),1,0),0)+IF(LEFT('班次明細'!O69,2)="料區",IF(AND('班次明細'!L69&gt;0,'班次明細'!G69&lt;=B11,'班次明細'!H69&gt;=C11),1,0),0)+IF(LEFT('班次明細'!O76,2)="料區",IF(AND('班次明細'!L76&gt;0,'班次明細'!G76&lt;=B11,'班次明細'!H76&gt;=C11),1,0),0)+IF(LEFT('班次明細'!O6,2)="炸區",IF(AND('班次明細'!L6&gt;0,'班次明細'!G6&lt;=B11,'班次明細'!H6&gt;=C11),1,0),0)+IF(LEFT('班次明細'!O13,2)="炸區",IF(AND('班次明細'!L13&gt;0,'班次明細'!G13&lt;=B11,'班次明細'!H13&gt;=C11),1,0),0)+IF(LEFT('班次明細'!O20,2)="炸區",IF(AND('班次明細'!L20&gt;0,'班次明細'!G20&lt;=B11,'班次明細'!H20&gt;=C11),1,0),0)+IF(LEFT('班次明細'!O27,2)="炸區",IF(AND('班次明細'!L27&gt;0,'班次明細'!G27&lt;=B11,'班次明細'!H27&gt;=C11),1,0),0)+IF(LEFT('班次明細'!O34,2)="炸區",IF(AND('班次明細'!L34&gt;0,'班次明細'!G34&lt;=B11,'班次明細'!H34&gt;=C11),1,0),0)+IF(LEFT('班次明細'!O41,2)="炸區",IF(AND('班次明細'!L41&gt;0,'班次明細'!G41&lt;=B11,'班次明細'!H41&gt;=C11),1,0),0)+IF(LEFT('班次明細'!O48,2)="炸區",IF(AND('班次明細'!L48&gt;0,'班次明細'!G48&lt;=B11,'班次明細'!H48&gt;=C11),1,0),0)+IF(LEFT('班次明細'!O55,2)="炸區",IF(AND('班次明細'!L55&gt;0,'班次明細'!G55&lt;=B11,'班次明細'!H55&gt;=C11),1,0),0)+IF(LEFT('班次明細'!O62,2)="炸區",IF(AND('班次明細'!L62&gt;0,'班次明細'!G62&lt;=B11,'班次明細'!H62&gt;=C11),1,0),0)+IF(LEFT('班次明細'!O69,2)="炸區",IF(AND('班次明細'!L69&gt;0,'班次明細'!G69&lt;=B11,'班次明細'!H69&gt;=C11),1,0),0)+IF(LEFT('班次明細'!O76,2)="炸區",IF(AND('班次明細'!L76&gt;0,'班次明細'!G76&lt;=B11,'班次明細'!H76&gt;=C11),1,0),0)))</x:f>
        <x:v>0</x:v>
      </x:c>
      <x:c r="K11" s="11" t="str">
        <x:v>P01:外場；P02:吧台；P07:料區；P10:司爐</x:v>
      </x:c>
      <x:c r="L11" s="11" t="str">
        <x:f>IF(OR(H11&gt;0,I11&gt;0,J11&gt;0),"缺口／超額待處理","主崗齊；休息待現場")</x:f>
        <x:v>主崗齊；休息待現場</x:v>
      </x:c>
    </x:row>
    <x:row r="12" ht="42" customHeight="1">
      <x:c r="A12" s="12" t="n">
        <x:v>46314</x:v>
      </x:c>
      <x:c r="B12" s="13" t="n">
        <x:v>0.5416666666666666</x:v>
      </x:c>
      <x:c r="C12" s="13" t="n">
        <x:v>0.5625</x:v>
      </x:c>
      <x:c r="D12" s="2" t="str">
        <x:v>午餐主崗</x:v>
      </x:c>
      <x:c r="E12" s="2" t="n">
        <x:v>4</x:v>
      </x:c>
      <x:c r="F12" s="2" t="n">
        <x:v>4</x:v>
      </x:c>
      <x:c r="G12" s="2" t="n">
        <x:f>IF(AND('班次明細'!L6&gt;0,'班次明細'!G6&lt;=B12,'班次明細'!H6&gt;=C12),1,0)+IF(AND('班次明細'!L13&gt;0,'班次明細'!G13&lt;=B12,'班次明細'!H13&gt;=C12),1,0)+IF(AND('班次明細'!L20&gt;0,'班次明細'!G20&lt;=B12,'班次明細'!H20&gt;=C12),1,0)+IF(AND('班次明細'!L27&gt;0,'班次明細'!G27&lt;=B12,'班次明細'!H27&gt;=C12),1,0)+IF(AND('班次明細'!L34&gt;0,'班次明細'!G34&lt;=B12,'班次明細'!H34&gt;=C12),1,0)+IF(AND('班次明細'!L41&gt;0,'班次明細'!G41&lt;=B12,'班次明細'!H41&gt;=C12),1,0)+IF(AND('班次明細'!L48&gt;0,'班次明細'!G48&lt;=B12,'班次明細'!H48&gt;=C12),1,0)+IF(AND('班次明細'!L55&gt;0,'班次明細'!G55&lt;=B12,'班次明細'!H55&gt;=C12),1,0)+IF(AND('班次明細'!L62&gt;0,'班次明細'!G62&lt;=B12,'班次明細'!H62&gt;=C12),1,0)+IF(AND('班次明細'!L69&gt;0,'班次明細'!G69&lt;=B12,'班次明細'!H69&gt;=C12),1,0)+IF(AND('班次明細'!L76&gt;0,'班次明細'!G76&lt;=B12,'班次明細'!H76&gt;=C12),1,0)</x:f>
        <x:v>4</x:v>
      </x:c>
      <x:c r="H12" s="2" t="n">
        <x:f>MAX(0,E12-G12)</x:f>
        <x:v>0</x:v>
      </x:c>
      <x:c r="I12" s="2" t="n">
        <x:f>IF(F12="",0,MAX(0,G12-F12))</x:f>
        <x:v>0</x:v>
      </x:c>
      <x:c r="J12" s="2" t="n">
        <x:f>IF((IF(LEFT('班次明細'!O6,2)="外場",IF(AND('班次明細'!L6&gt;0,'班次明細'!G6&lt;=B12,'班次明細'!H6&gt;=C12),1,0),0)+IF(LEFT('班次明細'!O13,2)="外場",IF(AND('班次明細'!L13&gt;0,'班次明細'!G13&lt;=B12,'班次明細'!H13&gt;=C12),1,0),0)+IF(LEFT('班次明細'!O20,2)="外場",IF(AND('班次明細'!L20&gt;0,'班次明細'!G20&lt;=B12,'班次明細'!H20&gt;=C12),1,0),0)+IF(LEFT('班次明細'!O27,2)="外場",IF(AND('班次明細'!L27&gt;0,'班次明細'!G27&lt;=B12,'班次明細'!H27&gt;=C12),1,0),0)+IF(LEFT('班次明細'!O34,2)="外場",IF(AND('班次明細'!L34&gt;0,'班次明細'!G34&lt;=B12,'班次明細'!H34&gt;=C12),1,0),0)+IF(LEFT('班次明細'!O41,2)="外場",IF(AND('班次明細'!L41&gt;0,'班次明細'!G41&lt;=B12,'班次明細'!H41&gt;=C12),1,0),0)+IF(LEFT('班次明細'!O48,2)="外場",IF(AND('班次明細'!L48&gt;0,'班次明細'!G48&lt;=B12,'班次明細'!H48&gt;=C12),1,0),0)+IF(LEFT('班次明細'!O55,2)="外場",IF(AND('班次明細'!L55&gt;0,'班次明細'!G55&lt;=B12,'班次明細'!H55&gt;=C12),1,0),0)+IF(LEFT('班次明細'!O62,2)="外場",IF(AND('班次明細'!L62&gt;0,'班次明細'!G62&lt;=B12,'班次明細'!H62&gt;=C12),1,0),0)+IF(LEFT('班次明細'!O69,2)="外場",IF(AND('班次明細'!L69&gt;0,'班次明細'!G69&lt;=B12,'班次明細'!H69&gt;=C12),1,0),0)+IF(LEFT('班次明細'!O76,2)="外場",IF(AND('班次明細'!L76&gt;0,'班次明細'!G76&lt;=B12,'班次明細'!H76&gt;=C12),1,0),0))&gt;0,0,1)+IF((IF(LEFT('班次明細'!O6,2)="吧台",IF(AND('班次明細'!L6&gt;0,'班次明細'!G6&lt;=B12,'班次明細'!H6&gt;=C12),1,0),0)+IF(LEFT('班次明細'!O13,2)="吧台",IF(AND('班次明細'!L13&gt;0,'班次明細'!G13&lt;=B12,'班次明細'!H13&gt;=C12),1,0),0)+IF(LEFT('班次明細'!O20,2)="吧台",IF(AND('班次明細'!L20&gt;0,'班次明細'!G20&lt;=B12,'班次明細'!H20&gt;=C12),1,0),0)+IF(LEFT('班次明細'!O27,2)="吧台",IF(AND('班次明細'!L27&gt;0,'班次明細'!G27&lt;=B12,'班次明細'!H27&gt;=C12),1,0),0)+IF(LEFT('班次明細'!O34,2)="吧台",IF(AND('班次明細'!L34&gt;0,'班次明細'!G34&lt;=B12,'班次明細'!H34&gt;=C12),1,0),0)+IF(LEFT('班次明細'!O41,2)="吧台",IF(AND('班次明細'!L41&gt;0,'班次明細'!G41&lt;=B12,'班次明細'!H41&gt;=C12),1,0),0)+IF(LEFT('班次明細'!O48,2)="吧台",IF(AND('班次明細'!L48&gt;0,'班次明細'!G48&lt;=B12,'班次明細'!H48&gt;=C12),1,0),0)+IF(LEFT('班次明細'!O55,2)="吧台",IF(AND('班次明細'!L55&gt;0,'班次明細'!G55&lt;=B12,'班次明細'!H55&gt;=C12),1,0),0)+IF(LEFT('班次明細'!O62,2)="吧台",IF(AND('班次明細'!L62&gt;0,'班次明細'!G62&lt;=B12,'班次明細'!H62&gt;=C12),1,0),0)+IF(LEFT('班次明細'!O69,2)="吧台",IF(AND('班次明細'!L69&gt;0,'班次明細'!G69&lt;=B12,'班次明細'!H69&gt;=C12),1,0),0)+IF(LEFT('班次明細'!O76,2)="吧台",IF(AND('班次明細'!L76&gt;0,'班次明細'!G76&lt;=B12,'班次明細'!H76&gt;=C12),1,0),0))&gt;0,0,1)+MAX(0,2-(IF(LEFT('班次明細'!O6,2)="司爐",IF(AND('班次明細'!L6&gt;0,'班次明細'!G6&lt;=B12,'班次明細'!H6&gt;=C12),1,0),0)+IF(LEFT('班次明細'!O13,2)="司爐",IF(AND('班次明細'!L13&gt;0,'班次明細'!G13&lt;=B12,'班次明細'!H13&gt;=C12),1,0),0)+IF(LEFT('班次明細'!O20,2)="司爐",IF(AND('班次明細'!L20&gt;0,'班次明細'!G20&lt;=B12,'班次明細'!H20&gt;=C12),1,0),0)+IF(LEFT('班次明細'!O27,2)="司爐",IF(AND('班次明細'!L27&gt;0,'班次明細'!G27&lt;=B12,'班次明細'!H27&gt;=C12),1,0),0)+IF(LEFT('班次明細'!O34,2)="司爐",IF(AND('班次明細'!L34&gt;0,'班次明細'!G34&lt;=B12,'班次明細'!H34&gt;=C12),1,0),0)+IF(LEFT('班次明細'!O41,2)="司爐",IF(AND('班次明細'!L41&gt;0,'班次明細'!G41&lt;=B12,'班次明細'!H41&gt;=C12),1,0),0)+IF(LEFT('班次明細'!O48,2)="司爐",IF(AND('班次明細'!L48&gt;0,'班次明細'!G48&lt;=B12,'班次明細'!H48&gt;=C12),1,0),0)+IF(LEFT('班次明細'!O55,2)="司爐",IF(AND('班次明細'!L55&gt;0,'班次明細'!G55&lt;=B12,'班次明細'!H55&gt;=C12),1,0),0)+IF(LEFT('班次明細'!O62,2)="司爐",IF(AND('班次明細'!L62&gt;0,'班次明細'!G62&lt;=B12,'班次明細'!H62&gt;=C12),1,0),0)+IF(LEFT('班次明細'!O69,2)="司爐",IF(AND('班次明細'!L69&gt;0,'班次明細'!G69&lt;=B12,'班次明細'!H69&gt;=C12),1,0),0)+IF(LEFT('班次明細'!O76,2)="司爐",IF(AND('班次明細'!L76&gt;0,'班次明細'!G76&lt;=B12,'班次明細'!H76&gt;=C12),1,0),0)+IF(LEFT('班次明細'!O6,2)="料區",IF(AND('班次明細'!L6&gt;0,'班次明細'!G6&lt;=B12,'班次明細'!H6&gt;=C12),1,0),0)+IF(LEFT('班次明細'!O13,2)="料區",IF(AND('班次明細'!L13&gt;0,'班次明細'!G13&lt;=B12,'班次明細'!H13&gt;=C12),1,0),0)+IF(LEFT('班次明細'!O20,2)="料區",IF(AND('班次明細'!L20&gt;0,'班次明細'!G20&lt;=B12,'班次明細'!H20&gt;=C12),1,0),0)+IF(LEFT('班次明細'!O27,2)="料區",IF(AND('班次明細'!L27&gt;0,'班次明細'!G27&lt;=B12,'班次明細'!H27&gt;=C12),1,0),0)+IF(LEFT('班次明細'!O34,2)="料區",IF(AND('班次明細'!L34&gt;0,'班次明細'!G34&lt;=B12,'班次明細'!H34&gt;=C12),1,0),0)+IF(LEFT('班次明細'!O41,2)="料區",IF(AND('班次明細'!L41&gt;0,'班次明細'!G41&lt;=B12,'班次明細'!H41&gt;=C12),1,0),0)+IF(LEFT('班次明細'!O48,2)="料區",IF(AND('班次明細'!L48&gt;0,'班次明細'!G48&lt;=B12,'班次明細'!H48&gt;=C12),1,0),0)+IF(LEFT('班次明細'!O55,2)="料區",IF(AND('班次明細'!L55&gt;0,'班次明細'!G55&lt;=B12,'班次明細'!H55&gt;=C12),1,0),0)+IF(LEFT('班次明細'!O62,2)="料區",IF(AND('班次明細'!L62&gt;0,'班次明細'!G62&lt;=B12,'班次明細'!H62&gt;=C12),1,0),0)+IF(LEFT('班次明細'!O69,2)="料區",IF(AND('班次明細'!L69&gt;0,'班次明細'!G69&lt;=B12,'班次明細'!H69&gt;=C12),1,0),0)+IF(LEFT('班次明細'!O76,2)="料區",IF(AND('班次明細'!L76&gt;0,'班次明細'!G76&lt;=B12,'班次明細'!H76&gt;=C12),1,0),0)+IF(LEFT('班次明細'!O6,2)="炸區",IF(AND('班次明細'!L6&gt;0,'班次明細'!G6&lt;=B12,'班次明細'!H6&gt;=C12),1,0),0)+IF(LEFT('班次明細'!O13,2)="炸區",IF(AND('班次明細'!L13&gt;0,'班次明細'!G13&lt;=B12,'班次明細'!H13&gt;=C12),1,0),0)+IF(LEFT('班次明細'!O20,2)="炸區",IF(AND('班次明細'!L20&gt;0,'班次明細'!G20&lt;=B12,'班次明細'!H20&gt;=C12),1,0),0)+IF(LEFT('班次明細'!O27,2)="炸區",IF(AND('班次明細'!L27&gt;0,'班次明細'!G27&lt;=B12,'班次明細'!H27&gt;=C12),1,0),0)+IF(LEFT('班次明細'!O34,2)="炸區",IF(AND('班次明細'!L34&gt;0,'班次明細'!G34&lt;=B12,'班次明細'!H34&gt;=C12),1,0),0)+IF(LEFT('班次明細'!O41,2)="炸區",IF(AND('班次明細'!L41&gt;0,'班次明細'!G41&lt;=B12,'班次明細'!H41&gt;=C12),1,0),0)+IF(LEFT('班次明細'!O48,2)="炸區",IF(AND('班次明細'!L48&gt;0,'班次明細'!G48&lt;=B12,'班次明細'!H48&gt;=C12),1,0),0)+IF(LEFT('班次明細'!O55,2)="炸區",IF(AND('班次明細'!L55&gt;0,'班次明細'!G55&lt;=B12,'班次明細'!H55&gt;=C12),1,0),0)+IF(LEFT('班次明細'!O62,2)="炸區",IF(AND('班次明細'!L62&gt;0,'班次明細'!G62&lt;=B12,'班次明細'!H62&gt;=C12),1,0),0)+IF(LEFT('班次明細'!O69,2)="炸區",IF(AND('班次明細'!L69&gt;0,'班次明細'!G69&lt;=B12,'班次明細'!H69&gt;=C12),1,0),0)+IF(LEFT('班次明細'!O76,2)="炸區",IF(AND('班次明細'!L76&gt;0,'班次明細'!G76&lt;=B12,'班次明細'!H76&gt;=C12),1,0),0)))</x:f>
        <x:v>0</x:v>
      </x:c>
      <x:c r="K12" s="11" t="str">
        <x:v>P01:外場；P02:吧台；P07:料區；P10:司爐</x:v>
      </x:c>
      <x:c r="L12" s="11" t="str">
        <x:f>IF(OR(H12&gt;0,I12&gt;0,J12&gt;0),"缺口／超額待處理","主崗齊；休息待現場")</x:f>
        <x:v>主崗齊；休息待現場</x:v>
      </x:c>
    </x:row>
    <x:row r="13" ht="42" customHeight="1">
      <x:c r="A13" s="12" t="n">
        <x:v>46314</x:v>
      </x:c>
      <x:c r="B13" s="13" t="n">
        <x:v>0.5625</x:v>
      </x:c>
      <x:c r="C13" s="13" t="n">
        <x:v>0.5833333333333334</x:v>
      </x:c>
      <x:c r="D13" s="2" t="str">
        <x:v>營運參考</x:v>
      </x:c>
      <x:c r="E13" s="2" t="n">
        <x:v>0</x:v>
      </x:c>
      <x:c r="F13" s="2"/>
      <x:c r="G13" s="2" t="n">
        <x:f>IF(AND('班次明細'!L6&gt;0,'班次明細'!G6&lt;=B13,'班次明細'!H6&gt;=C13),1,0)+IF(AND('班次明細'!L13&gt;0,'班次明細'!G13&lt;=B13,'班次明細'!H13&gt;=C13),1,0)+IF(AND('班次明細'!L20&gt;0,'班次明細'!G20&lt;=B13,'班次明細'!H20&gt;=C13),1,0)+IF(AND('班次明細'!L27&gt;0,'班次明細'!G27&lt;=B13,'班次明細'!H27&gt;=C13),1,0)+IF(AND('班次明細'!L34&gt;0,'班次明細'!G34&lt;=B13,'班次明細'!H34&gt;=C13),1,0)+IF(AND('班次明細'!L41&gt;0,'班次明細'!G41&lt;=B13,'班次明細'!H41&gt;=C13),1,0)+IF(AND('班次明細'!L48&gt;0,'班次明細'!G48&lt;=B13,'班次明細'!H48&gt;=C13),1,0)+IF(AND('班次明細'!L55&gt;0,'班次明細'!G55&lt;=B13,'班次明細'!H55&gt;=C13),1,0)+IF(AND('班次明細'!L62&gt;0,'班次明細'!G62&lt;=B13,'班次明細'!H62&gt;=C13),1,0)+IF(AND('班次明細'!L69&gt;0,'班次明細'!G69&lt;=B13,'班次明細'!H69&gt;=C13),1,0)+IF(AND('班次明細'!L76&gt;0,'班次明細'!G76&lt;=B13,'班次明細'!H76&gt;=C13),1,0)</x:f>
        <x:v>4</x:v>
      </x:c>
      <x:c r="H13" s="2" t="n">
        <x:f>MAX(0,E13-G13)</x:f>
        <x:v>0</x:v>
      </x:c>
      <x:c r="I13" s="2" t="n">
        <x:f>IF(F13="",0,MAX(0,G13-F13))</x:f>
        <x:v>0</x:v>
      </x:c>
      <x:c r="J13" s="2" t="n">
        <x:v>0</x:v>
      </x:c>
      <x:c r="K13" s="11" t="str">
        <x:v>—</x:v>
      </x:c>
      <x:c r="L13" s="11" t="str">
        <x:f>"營運參考"</x:f>
        <x:v>營運參考</x:v>
      </x:c>
    </x:row>
    <x:row r="14" ht="42" customHeight="1">
      <x:c r="A14" s="12" t="n">
        <x:v>46314</x:v>
      </x:c>
      <x:c r="B14" s="13" t="n">
        <x:v>0.5833333333333334</x:v>
      </x:c>
      <x:c r="C14" s="13" t="n">
        <x:v>0.6041666666666666</x:v>
      </x:c>
      <x:c r="D14" s="2" t="str">
        <x:v>營運參考</x:v>
      </x:c>
      <x:c r="E14" s="2" t="n">
        <x:v>0</x:v>
      </x:c>
      <x:c r="F14" s="2"/>
      <x:c r="G14" s="2" t="n">
        <x:f>IF(AND('班次明細'!L6&gt;0,'班次明細'!G6&lt;=B14,'班次明細'!H6&gt;=C14),1,0)+IF(AND('班次明細'!L13&gt;0,'班次明細'!G13&lt;=B14,'班次明細'!H13&gt;=C14),1,0)+IF(AND('班次明細'!L20&gt;0,'班次明細'!G20&lt;=B14,'班次明細'!H20&gt;=C14),1,0)+IF(AND('班次明細'!L27&gt;0,'班次明細'!G27&lt;=B14,'班次明細'!H27&gt;=C14),1,0)+IF(AND('班次明細'!L34&gt;0,'班次明細'!G34&lt;=B14,'班次明細'!H34&gt;=C14),1,0)+IF(AND('班次明細'!L41&gt;0,'班次明細'!G41&lt;=B14,'班次明細'!H41&gt;=C14),1,0)+IF(AND('班次明細'!L48&gt;0,'班次明細'!G48&lt;=B14,'班次明細'!H48&gt;=C14),1,0)+IF(AND('班次明細'!L55&gt;0,'班次明細'!G55&lt;=B14,'班次明細'!H55&gt;=C14),1,0)+IF(AND('班次明細'!L62&gt;0,'班次明細'!G62&lt;=B14,'班次明細'!H62&gt;=C14),1,0)+IF(AND('班次明細'!L69&gt;0,'班次明細'!G69&lt;=B14,'班次明細'!H69&gt;=C14),1,0)+IF(AND('班次明細'!L76&gt;0,'班次明細'!G76&lt;=B14,'班次明細'!H76&gt;=C14),1,0)</x:f>
        <x:v>4</x:v>
      </x:c>
      <x:c r="H14" s="2" t="n">
        <x:f>MAX(0,E14-G14)</x:f>
        <x:v>0</x:v>
      </x:c>
      <x:c r="I14" s="2" t="n">
        <x:f>IF(F14="",0,MAX(0,G14-F14))</x:f>
        <x:v>0</x:v>
      </x:c>
      <x:c r="J14" s="2" t="n">
        <x:v>0</x:v>
      </x:c>
      <x:c r="K14" s="11" t="str">
        <x:v>—</x:v>
      </x:c>
      <x:c r="L14" s="11" t="str">
        <x:f>"營運參考"</x:f>
        <x:v>營運參考</x:v>
      </x:c>
    </x:row>
    <x:row r="15" ht="42" customHeight="1">
      <x:c r="A15" s="12" t="n">
        <x:v>46314</x:v>
      </x:c>
      <x:c r="B15" s="13" t="n">
        <x:v>0.6041666666666666</x:v>
      </x:c>
      <x:c r="C15" s="13" t="n">
        <x:v>0.625</x:v>
      </x:c>
      <x:c r="D15" s="2" t="str">
        <x:v>營運參考</x:v>
      </x:c>
      <x:c r="E15" s="2" t="n">
        <x:v>0</x:v>
      </x:c>
      <x:c r="F15" s="2"/>
      <x:c r="G15" s="2" t="n">
        <x:f>IF(AND('班次明細'!L6&gt;0,'班次明細'!G6&lt;=B15,'班次明細'!H6&gt;=C15),1,0)+IF(AND('班次明細'!L13&gt;0,'班次明細'!G13&lt;=B15,'班次明細'!H13&gt;=C15),1,0)+IF(AND('班次明細'!L20&gt;0,'班次明細'!G20&lt;=B15,'班次明細'!H20&gt;=C15),1,0)+IF(AND('班次明細'!L27&gt;0,'班次明細'!G27&lt;=B15,'班次明細'!H27&gt;=C15),1,0)+IF(AND('班次明細'!L34&gt;0,'班次明細'!G34&lt;=B15,'班次明細'!H34&gt;=C15),1,0)+IF(AND('班次明細'!L41&gt;0,'班次明細'!G41&lt;=B15,'班次明細'!H41&gt;=C15),1,0)+IF(AND('班次明細'!L48&gt;0,'班次明細'!G48&lt;=B15,'班次明細'!H48&gt;=C15),1,0)+IF(AND('班次明細'!L55&gt;0,'班次明細'!G55&lt;=B15,'班次明細'!H55&gt;=C15),1,0)+IF(AND('班次明細'!L62&gt;0,'班次明細'!G62&lt;=B15,'班次明細'!H62&gt;=C15),1,0)+IF(AND('班次明細'!L69&gt;0,'班次明細'!G69&lt;=B15,'班次明細'!H69&gt;=C15),1,0)+IF(AND('班次明細'!L76&gt;0,'班次明細'!G76&lt;=B15,'班次明細'!H76&gt;=C15),1,0)</x:f>
        <x:v>4</x:v>
      </x:c>
      <x:c r="H15" s="2" t="n">
        <x:f>MAX(0,E15-G15)</x:f>
        <x:v>0</x:v>
      </x:c>
      <x:c r="I15" s="2" t="n">
        <x:f>IF(F15="",0,MAX(0,G15-F15))</x:f>
        <x:v>0</x:v>
      </x:c>
      <x:c r="J15" s="2" t="n">
        <x:v>0</x:v>
      </x:c>
      <x:c r="K15" s="11" t="str">
        <x:v>—</x:v>
      </x:c>
      <x:c r="L15" s="11" t="str">
        <x:f>"營運參考"</x:f>
        <x:v>營運參考</x:v>
      </x:c>
    </x:row>
    <x:row r="16" ht="42" customHeight="1">
      <x:c r="A16" s="12" t="n">
        <x:v>46314</x:v>
      </x:c>
      <x:c r="B16" s="13" t="n">
        <x:v>0.625</x:v>
      </x:c>
      <x:c r="C16" s="13" t="n">
        <x:v>0.6458333333333334</x:v>
      </x:c>
      <x:c r="D16" s="2" t="str">
        <x:v>營運參考</x:v>
      </x:c>
      <x:c r="E16" s="2" t="n">
        <x:v>0</x:v>
      </x:c>
      <x:c r="F16" s="2"/>
      <x:c r="G16" s="2" t="n">
        <x:f>IF(AND('班次明細'!L6&gt;0,'班次明細'!G6&lt;=B16,'班次明細'!H6&gt;=C16),1,0)+IF(AND('班次明細'!L13&gt;0,'班次明細'!G13&lt;=B16,'班次明細'!H13&gt;=C16),1,0)+IF(AND('班次明細'!L20&gt;0,'班次明細'!G20&lt;=B16,'班次明細'!H20&gt;=C16),1,0)+IF(AND('班次明細'!L27&gt;0,'班次明細'!G27&lt;=B16,'班次明細'!H27&gt;=C16),1,0)+IF(AND('班次明細'!L34&gt;0,'班次明細'!G34&lt;=B16,'班次明細'!H34&gt;=C16),1,0)+IF(AND('班次明細'!L41&gt;0,'班次明細'!G41&lt;=B16,'班次明細'!H41&gt;=C16),1,0)+IF(AND('班次明細'!L48&gt;0,'班次明細'!G48&lt;=B16,'班次明細'!H48&gt;=C16),1,0)+IF(AND('班次明細'!L55&gt;0,'班次明細'!G55&lt;=B16,'班次明細'!H55&gt;=C16),1,0)+IF(AND('班次明細'!L62&gt;0,'班次明細'!G62&lt;=B16,'班次明細'!H62&gt;=C16),1,0)+IF(AND('班次明細'!L69&gt;0,'班次明細'!G69&lt;=B16,'班次明細'!H69&gt;=C16),1,0)+IF(AND('班次明細'!L76&gt;0,'班次明細'!G76&lt;=B16,'班次明細'!H76&gt;=C16),1,0)</x:f>
        <x:v>4</x:v>
      </x:c>
      <x:c r="H16" s="2" t="n">
        <x:f>MAX(0,E16-G16)</x:f>
        <x:v>0</x:v>
      </x:c>
      <x:c r="I16" s="2" t="n">
        <x:f>IF(F16="",0,MAX(0,G16-F16))</x:f>
        <x:v>0</x:v>
      </x:c>
      <x:c r="J16" s="2" t="n">
        <x:v>0</x:v>
      </x:c>
      <x:c r="K16" s="11" t="str">
        <x:v>—</x:v>
      </x:c>
      <x:c r="L16" s="11" t="str">
        <x:f>"營運參考"</x:f>
        <x:v>營運參考</x:v>
      </x:c>
    </x:row>
    <x:row r="17" ht="42" customHeight="1">
      <x:c r="A17" s="12" t="n">
        <x:v>46314</x:v>
      </x:c>
      <x:c r="B17" s="13" t="n">
        <x:v>0.6458333333333334</x:v>
      </x:c>
      <x:c r="C17" s="13" t="n">
        <x:v>0.6666666666666666</x:v>
      </x:c>
      <x:c r="D17" s="2" t="str">
        <x:v>營運參考</x:v>
      </x:c>
      <x:c r="E17" s="2" t="n">
        <x:v>0</x:v>
      </x:c>
      <x:c r="F17" s="2"/>
      <x:c r="G17" s="2" t="n">
        <x:f>IF(AND('班次明細'!L6&gt;0,'班次明細'!G6&lt;=B17,'班次明細'!H6&gt;=C17),1,0)+IF(AND('班次明細'!L13&gt;0,'班次明細'!G13&lt;=B17,'班次明細'!H13&gt;=C17),1,0)+IF(AND('班次明細'!L20&gt;0,'班次明細'!G20&lt;=B17,'班次明細'!H20&gt;=C17),1,0)+IF(AND('班次明細'!L27&gt;0,'班次明細'!G27&lt;=B17,'班次明細'!H27&gt;=C17),1,0)+IF(AND('班次明細'!L34&gt;0,'班次明細'!G34&lt;=B17,'班次明細'!H34&gt;=C17),1,0)+IF(AND('班次明細'!L41&gt;0,'班次明細'!G41&lt;=B17,'班次明細'!H41&gt;=C17),1,0)+IF(AND('班次明細'!L48&gt;0,'班次明細'!G48&lt;=B17,'班次明細'!H48&gt;=C17),1,0)+IF(AND('班次明細'!L55&gt;0,'班次明細'!G55&lt;=B17,'班次明細'!H55&gt;=C17),1,0)+IF(AND('班次明細'!L62&gt;0,'班次明細'!G62&lt;=B17,'班次明細'!H62&gt;=C17),1,0)+IF(AND('班次明細'!L69&gt;0,'班次明細'!G69&lt;=B17,'班次明細'!H69&gt;=C17),1,0)+IF(AND('班次明細'!L76&gt;0,'班次明細'!G76&lt;=B17,'班次明細'!H76&gt;=C17),1,0)</x:f>
        <x:v>3</x:v>
      </x:c>
      <x:c r="H17" s="2" t="n">
        <x:f>MAX(0,E17-G17)</x:f>
        <x:v>0</x:v>
      </x:c>
      <x:c r="I17" s="2" t="n">
        <x:f>IF(F17="",0,MAX(0,G17-F17))</x:f>
        <x:v>0</x:v>
      </x:c>
      <x:c r="J17" s="2" t="n">
        <x:v>0</x:v>
      </x:c>
      <x:c r="K17" s="11" t="str">
        <x:v>—</x:v>
      </x:c>
      <x:c r="L17" s="11" t="str">
        <x:f>"營運參考"</x:f>
        <x:v>營運參考</x:v>
      </x:c>
    </x:row>
    <x:row r="18" ht="42" customHeight="1">
      <x:c r="A18" s="12" t="n">
        <x:v>46314</x:v>
      </x:c>
      <x:c r="B18" s="13" t="n">
        <x:v>0.6666666666666666</x:v>
      </x:c>
      <x:c r="C18" s="13" t="n">
        <x:v>0.6875</x:v>
      </x:c>
      <x:c r="D18" s="2" t="str">
        <x:v>營運參考</x:v>
      </x:c>
      <x:c r="E18" s="2" t="n">
        <x:v>0</x:v>
      </x:c>
      <x:c r="F18" s="2"/>
      <x:c r="G18" s="2" t="n">
        <x:f>IF(AND('班次明細'!L6&gt;0,'班次明細'!G6&lt;=B18,'班次明細'!H6&gt;=C18),1,0)+IF(AND('班次明細'!L13&gt;0,'班次明細'!G13&lt;=B18,'班次明細'!H13&gt;=C18),1,0)+IF(AND('班次明細'!L20&gt;0,'班次明細'!G20&lt;=B18,'班次明細'!H20&gt;=C18),1,0)+IF(AND('班次明細'!L27&gt;0,'班次明細'!G27&lt;=B18,'班次明細'!H27&gt;=C18),1,0)+IF(AND('班次明細'!L34&gt;0,'班次明細'!G34&lt;=B18,'班次明細'!H34&gt;=C18),1,0)+IF(AND('班次明細'!L41&gt;0,'班次明細'!G41&lt;=B18,'班次明細'!H41&gt;=C18),1,0)+IF(AND('班次明細'!L48&gt;0,'班次明細'!G48&lt;=B18,'班次明細'!H48&gt;=C18),1,0)+IF(AND('班次明細'!L55&gt;0,'班次明細'!G55&lt;=B18,'班次明細'!H55&gt;=C18),1,0)+IF(AND('班次明細'!L62&gt;0,'班次明細'!G62&lt;=B18,'班次明細'!H62&gt;=C18),1,0)+IF(AND('班次明細'!L69&gt;0,'班次明細'!G69&lt;=B18,'班次明細'!H69&gt;=C18),1,0)+IF(AND('班次明細'!L76&gt;0,'班次明細'!G76&lt;=B18,'班次明細'!H76&gt;=C18),1,0)</x:f>
        <x:v>3</x:v>
      </x:c>
      <x:c r="H18" s="2" t="n">
        <x:f>MAX(0,E18-G18)</x:f>
        <x:v>0</x:v>
      </x:c>
      <x:c r="I18" s="2" t="n">
        <x:f>IF(F18="",0,MAX(0,G18-F18))</x:f>
        <x:v>0</x:v>
      </x:c>
      <x:c r="J18" s="2" t="n">
        <x:v>0</x:v>
      </x:c>
      <x:c r="K18" s="11" t="str">
        <x:v>—</x:v>
      </x:c>
      <x:c r="L18" s="11" t="str">
        <x:f>"營運參考"</x:f>
        <x:v>營運參考</x:v>
      </x:c>
    </x:row>
    <x:row r="19" ht="42" customHeight="1">
      <x:c r="A19" s="12" t="n">
        <x:v>46314</x:v>
      </x:c>
      <x:c r="B19" s="13" t="n">
        <x:v>0.6875</x:v>
      </x:c>
      <x:c r="C19" s="13" t="n">
        <x:v>0.7083333333333334</x:v>
      </x:c>
      <x:c r="D19" s="2" t="str">
        <x:v>營運參考</x:v>
      </x:c>
      <x:c r="E19" s="2" t="n">
        <x:v>0</x:v>
      </x:c>
      <x:c r="F19" s="2"/>
      <x:c r="G19" s="2" t="n">
        <x:f>IF(AND('班次明細'!L6&gt;0,'班次明細'!G6&lt;=B19,'班次明細'!H6&gt;=C19),1,0)+IF(AND('班次明細'!L13&gt;0,'班次明細'!G13&lt;=B19,'班次明細'!H13&gt;=C19),1,0)+IF(AND('班次明細'!L20&gt;0,'班次明細'!G20&lt;=B19,'班次明細'!H20&gt;=C19),1,0)+IF(AND('班次明細'!L27&gt;0,'班次明細'!G27&lt;=B19,'班次明細'!H27&gt;=C19),1,0)+IF(AND('班次明細'!L34&gt;0,'班次明細'!G34&lt;=B19,'班次明細'!H34&gt;=C19),1,0)+IF(AND('班次明細'!L41&gt;0,'班次明細'!G41&lt;=B19,'班次明細'!H41&gt;=C19),1,0)+IF(AND('班次明細'!L48&gt;0,'班次明細'!G48&lt;=B19,'班次明細'!H48&gt;=C19),1,0)+IF(AND('班次明細'!L55&gt;0,'班次明細'!G55&lt;=B19,'班次明細'!H55&gt;=C19),1,0)+IF(AND('班次明細'!L62&gt;0,'班次明細'!G62&lt;=B19,'班次明細'!H62&gt;=C19),1,0)+IF(AND('班次明細'!L69&gt;0,'班次明細'!G69&lt;=B19,'班次明細'!H69&gt;=C19),1,0)+IF(AND('班次明細'!L76&gt;0,'班次明細'!G76&lt;=B19,'班次明細'!H76&gt;=C19),1,0)</x:f>
        <x:v>3</x:v>
      </x:c>
      <x:c r="H19" s="2" t="n">
        <x:f>MAX(0,E19-G19)</x:f>
        <x:v>0</x:v>
      </x:c>
      <x:c r="I19" s="2" t="n">
        <x:f>IF(F19="",0,MAX(0,G19-F19))</x:f>
        <x:v>0</x:v>
      </x:c>
      <x:c r="J19" s="2" t="n">
        <x:v>0</x:v>
      </x:c>
      <x:c r="K19" s="11" t="str">
        <x:v>—</x:v>
      </x:c>
      <x:c r="L19" s="11" t="str">
        <x:f>"營運參考"</x:f>
        <x:v>營運參考</x:v>
      </x:c>
    </x:row>
    <x:row r="20" ht="42" customHeight="1">
      <x:c r="A20" s="12" t="n">
        <x:v>46314</x:v>
      </x:c>
      <x:c r="B20" s="13" t="n">
        <x:v>0.7083333333333334</x:v>
      </x:c>
      <x:c r="C20" s="13" t="n">
        <x:v>0.7291666666666666</x:v>
      </x:c>
      <x:c r="D20" s="2" t="str">
        <x:v>營運參考</x:v>
      </x:c>
      <x:c r="E20" s="2" t="n">
        <x:v>0</x:v>
      </x:c>
      <x:c r="F20" s="2"/>
      <x:c r="G20" s="2" t="n">
        <x:f>IF(AND('班次明細'!L6&gt;0,'班次明細'!G6&lt;=B20,'班次明細'!H6&gt;=C20),1,0)+IF(AND('班次明細'!L13&gt;0,'班次明細'!G13&lt;=B20,'班次明細'!H13&gt;=C20),1,0)+IF(AND('班次明細'!L20&gt;0,'班次明細'!G20&lt;=B20,'班次明細'!H20&gt;=C20),1,0)+IF(AND('班次明細'!L27&gt;0,'班次明細'!G27&lt;=B20,'班次明細'!H27&gt;=C20),1,0)+IF(AND('班次明細'!L34&gt;0,'班次明細'!G34&lt;=B20,'班次明細'!H34&gt;=C20),1,0)+IF(AND('班次明細'!L41&gt;0,'班次明細'!G41&lt;=B20,'班次明細'!H41&gt;=C20),1,0)+IF(AND('班次明細'!L48&gt;0,'班次明細'!G48&lt;=B20,'班次明細'!H48&gt;=C20),1,0)+IF(AND('班次明細'!L55&gt;0,'班次明細'!G55&lt;=B20,'班次明細'!H55&gt;=C20),1,0)+IF(AND('班次明細'!L62&gt;0,'班次明細'!G62&lt;=B20,'班次明細'!H62&gt;=C20),1,0)+IF(AND('班次明細'!L69&gt;0,'班次明細'!G69&lt;=B20,'班次明細'!H69&gt;=C20),1,0)+IF(AND('班次明細'!L76&gt;0,'班次明細'!G76&lt;=B20,'班次明細'!H76&gt;=C20),1,0)</x:f>
        <x:v>5</x:v>
      </x:c>
      <x:c r="H20" s="2" t="n">
        <x:f>MAX(0,E20-G20)</x:f>
        <x:v>0</x:v>
      </x:c>
      <x:c r="I20" s="2" t="n">
        <x:f>IF(F20="",0,MAX(0,G20-F20))</x:f>
        <x:v>0</x:v>
      </x:c>
      <x:c r="J20" s="2" t="n">
        <x:v>0</x:v>
      </x:c>
      <x:c r="K20" s="11" t="str">
        <x:v>—</x:v>
      </x:c>
      <x:c r="L20" s="11" t="str">
        <x:f>"營運參考"</x:f>
        <x:v>營運參考</x:v>
      </x:c>
    </x:row>
    <x:row r="21" ht="42" customHeight="1">
      <x:c r="A21" s="12" t="n">
        <x:v>46314</x:v>
      </x:c>
      <x:c r="B21" s="13" t="n">
        <x:v>0.7291666666666666</x:v>
      </x:c>
      <x:c r="C21" s="13" t="n">
        <x:v>0.75</x:v>
      </x:c>
      <x:c r="D21" s="2" t="str">
        <x:v>晚餐主崗</x:v>
      </x:c>
      <x:c r="E21" s="2" t="n">
        <x:v>5</x:v>
      </x:c>
      <x:c r="F21" s="2" t="n">
        <x:v>5</x:v>
      </x:c>
      <x:c r="G21" s="2" t="n">
        <x:f>IF(AND('班次明細'!L6&gt;0,'班次明細'!G6&lt;=B21,'班次明細'!H6&gt;=C21),1,0)+IF(AND('班次明細'!L13&gt;0,'班次明細'!G13&lt;=B21,'班次明細'!H13&gt;=C21),1,0)+IF(AND('班次明細'!L20&gt;0,'班次明細'!G20&lt;=B21,'班次明細'!H20&gt;=C21),1,0)+IF(AND('班次明細'!L27&gt;0,'班次明細'!G27&lt;=B21,'班次明細'!H27&gt;=C21),1,0)+IF(AND('班次明細'!L34&gt;0,'班次明細'!G34&lt;=B21,'班次明細'!H34&gt;=C21),1,0)+IF(AND('班次明細'!L41&gt;0,'班次明細'!G41&lt;=B21,'班次明細'!H41&gt;=C21),1,0)+IF(AND('班次明細'!L48&gt;0,'班次明細'!G48&lt;=B21,'班次明細'!H48&gt;=C21),1,0)+IF(AND('班次明細'!L55&gt;0,'班次明細'!G55&lt;=B21,'班次明細'!H55&gt;=C21),1,0)+IF(AND('班次明細'!L62&gt;0,'班次明細'!G62&lt;=B21,'班次明細'!H62&gt;=C21),1,0)+IF(AND('班次明細'!L69&gt;0,'班次明細'!G69&lt;=B21,'班次明細'!H69&gt;=C21),1,0)+IF(AND('班次明細'!L76&gt;0,'班次明細'!G76&lt;=B21,'班次明細'!H76&gt;=C21),1,0)</x:f>
        <x:v>5</x:v>
      </x:c>
      <x:c r="H21" s="2" t="n">
        <x:f>MAX(0,E21-G21)</x:f>
        <x:v>0</x:v>
      </x:c>
      <x:c r="I21" s="2" t="n">
        <x:f>IF(F21="",0,MAX(0,G21-F21))</x:f>
        <x:v>0</x:v>
      </x:c>
      <x:c r="J21" s="2" t="n">
        <x:f>IF((IF(RIGHT('班次明細'!O6,2)="外場",IF(AND('班次明細'!L6&gt;0,'班次明細'!G6&lt;=B21,'班次明細'!H6&gt;=C21),1,0),0)+IF(RIGHT('班次明細'!O13,2)="外場",IF(AND('班次明細'!L13&gt;0,'班次明細'!G13&lt;=B21,'班次明細'!H13&gt;=C21),1,0),0)+IF(RIGHT('班次明細'!O20,2)="外場",IF(AND('班次明細'!L20&gt;0,'班次明細'!G20&lt;=B21,'班次明細'!H20&gt;=C21),1,0),0)+IF(RIGHT('班次明細'!O27,2)="外場",IF(AND('班次明細'!L27&gt;0,'班次明細'!G27&lt;=B21,'班次明細'!H27&gt;=C21),1,0),0)+IF(RIGHT('班次明細'!O34,2)="外場",IF(AND('班次明細'!L34&gt;0,'班次明細'!G34&lt;=B21,'班次明細'!H34&gt;=C21),1,0),0)+IF(RIGHT('班次明細'!O41,2)="外場",IF(AND('班次明細'!L41&gt;0,'班次明細'!G41&lt;=B21,'班次明細'!H41&gt;=C21),1,0),0)+IF(RIGHT('班次明細'!O48,2)="外場",IF(AND('班次明細'!L48&gt;0,'班次明細'!G48&lt;=B21,'班次明細'!H48&gt;=C21),1,0),0)+IF(RIGHT('班次明細'!O55,2)="外場",IF(AND('班次明細'!L55&gt;0,'班次明細'!G55&lt;=B21,'班次明細'!H55&gt;=C21),1,0),0)+IF(RIGHT('班次明細'!O62,2)="外場",IF(AND('班次明細'!L62&gt;0,'班次明細'!G62&lt;=B21,'班次明細'!H62&gt;=C21),1,0),0)+IF(RIGHT('班次明細'!O69,2)="外場",IF(AND('班次明細'!L69&gt;0,'班次明細'!G69&lt;=B21,'班次明細'!H69&gt;=C21),1,0),0)+IF(RIGHT('班次明細'!O76,2)="外場",IF(AND('班次明細'!L76&gt;0,'班次明細'!G76&lt;=B21,'班次明細'!H76&gt;=C21),1,0),0))&gt;0,0,1)+IF((IF(RIGHT('班次明細'!O6,2)="吧台",IF(AND('班次明細'!L6&gt;0,'班次明細'!G6&lt;=B21,'班次明細'!H6&gt;=C21),1,0),0)+IF(RIGHT('班次明細'!O13,2)="吧台",IF(AND('班次明細'!L13&gt;0,'班次明細'!G13&lt;=B21,'班次明細'!H13&gt;=C21),1,0),0)+IF(RIGHT('班次明細'!O20,2)="吧台",IF(AND('班次明細'!L20&gt;0,'班次明細'!G20&lt;=B21,'班次明細'!H20&gt;=C21),1,0),0)+IF(RIGHT('班次明細'!O27,2)="吧台",IF(AND('班次明細'!L27&gt;0,'班次明細'!G27&lt;=B21,'班次明細'!H27&gt;=C21),1,0),0)+IF(RIGHT('班次明細'!O34,2)="吧台",IF(AND('班次明細'!L34&gt;0,'班次明細'!G34&lt;=B21,'班次明細'!H34&gt;=C21),1,0),0)+IF(RIGHT('班次明細'!O41,2)="吧台",IF(AND('班次明細'!L41&gt;0,'班次明細'!G41&lt;=B21,'班次明細'!H41&gt;=C21),1,0),0)+IF(RIGHT('班次明細'!O48,2)="吧台",IF(AND('班次明細'!L48&gt;0,'班次明細'!G48&lt;=B21,'班次明細'!H48&gt;=C21),1,0),0)+IF(RIGHT('班次明細'!O55,2)="吧台",IF(AND('班次明細'!L55&gt;0,'班次明細'!G55&lt;=B21,'班次明細'!H55&gt;=C21),1,0),0)+IF(RIGHT('班次明細'!O62,2)="吧台",IF(AND('班次明細'!L62&gt;0,'班次明細'!G62&lt;=B21,'班次明細'!H62&gt;=C21),1,0),0)+IF(RIGHT('班次明細'!O69,2)="吧台",IF(AND('班次明細'!L69&gt;0,'班次明細'!G69&lt;=B21,'班次明細'!H69&gt;=C21),1,0),0)+IF(RIGHT('班次明細'!O76,2)="吧台",IF(AND('班次明細'!L76&gt;0,'班次明細'!G76&lt;=B21,'班次明細'!H76&gt;=C21),1,0),0))&gt;0,0,1)+IF((IF(RIGHT('班次明細'!O6,2)="司爐",IF(AND('班次明細'!L6&gt;0,'班次明細'!G6&lt;=B21,'班次明細'!H6&gt;=C21),1,0),0)+IF(RIGHT('班次明細'!O13,2)="司爐",IF(AND('班次明細'!L13&gt;0,'班次明細'!G13&lt;=B21,'班次明細'!H13&gt;=C21),1,0),0)+IF(RIGHT('班次明細'!O20,2)="司爐",IF(AND('班次明細'!L20&gt;0,'班次明細'!G20&lt;=B21,'班次明細'!H20&gt;=C21),1,0),0)+IF(RIGHT('班次明細'!O27,2)="司爐",IF(AND('班次明細'!L27&gt;0,'班次明細'!G27&lt;=B21,'班次明細'!H27&gt;=C21),1,0),0)+IF(RIGHT('班次明細'!O34,2)="司爐",IF(AND('班次明細'!L34&gt;0,'班次明細'!G34&lt;=B21,'班次明細'!H34&gt;=C21),1,0),0)+IF(RIGHT('班次明細'!O41,2)="司爐",IF(AND('班次明細'!L41&gt;0,'班次明細'!G41&lt;=B21,'班次明細'!H41&gt;=C21),1,0),0)+IF(RIGHT('班次明細'!O48,2)="司爐",IF(AND('班次明細'!L48&gt;0,'班次明細'!G48&lt;=B21,'班次明細'!H48&gt;=C21),1,0),0)+IF(RIGHT('班次明細'!O55,2)="司爐",IF(AND('班次明細'!L55&gt;0,'班次明細'!G55&lt;=B21,'班次明細'!H55&gt;=C21),1,0),0)+IF(RIGHT('班次明細'!O62,2)="司爐",IF(AND('班次明細'!L62&gt;0,'班次明細'!G62&lt;=B21,'班次明細'!H62&gt;=C21),1,0),0)+IF(RIGHT('班次明細'!O69,2)="司爐",IF(AND('班次明細'!L69&gt;0,'班次明細'!G69&lt;=B21,'班次明細'!H69&gt;=C21),1,0),0)+IF(RIGHT('班次明細'!O76,2)="司爐",IF(AND('班次明細'!L76&gt;0,'班次明細'!G76&lt;=B21,'班次明細'!H76&gt;=C21),1,0),0))&gt;0,0,1)+IF((IF(RIGHT('班次明細'!O6,2)="料區",IF(AND('班次明細'!L6&gt;0,'班次明細'!G6&lt;=B21,'班次明細'!H6&gt;=C21),1,0),0)+IF(RIGHT('班次明細'!O13,2)="料區",IF(AND('班次明細'!L13&gt;0,'班次明細'!G13&lt;=B21,'班次明細'!H13&gt;=C21),1,0),0)+IF(RIGHT('班次明細'!O20,2)="料區",IF(AND('班次明細'!L20&gt;0,'班次明細'!G20&lt;=B21,'班次明細'!H20&gt;=C21),1,0),0)+IF(RIGHT('班次明細'!O27,2)="料區",IF(AND('班次明細'!L27&gt;0,'班次明細'!G27&lt;=B21,'班次明細'!H27&gt;=C21),1,0),0)+IF(RIGHT('班次明細'!O34,2)="料區",IF(AND('班次明細'!L34&gt;0,'班次明細'!G34&lt;=B21,'班次明細'!H34&gt;=C21),1,0),0)+IF(RIGHT('班次明細'!O41,2)="料區",IF(AND('班次明細'!L41&gt;0,'班次明細'!G41&lt;=B21,'班次明細'!H41&gt;=C21),1,0),0)+IF(RIGHT('班次明細'!O48,2)="料區",IF(AND('班次明細'!L48&gt;0,'班次明細'!G48&lt;=B21,'班次明細'!H48&gt;=C21),1,0),0)+IF(RIGHT('班次明細'!O55,2)="料區",IF(AND('班次明細'!L55&gt;0,'班次明細'!G55&lt;=B21,'班次明細'!H55&gt;=C21),1,0),0)+IF(RIGHT('班次明細'!O62,2)="料區",IF(AND('班次明細'!L62&gt;0,'班次明細'!G62&lt;=B21,'班次明細'!H62&gt;=C21),1,0),0)+IF(RIGHT('班次明細'!O69,2)="料區",IF(AND('班次明細'!L69&gt;0,'班次明細'!G69&lt;=B21,'班次明細'!H69&gt;=C21),1,0),0)+IF(RIGHT('班次明細'!O76,2)="料區",IF(AND('班次明細'!L76&gt;0,'班次明細'!G76&lt;=B21,'班次明細'!H76&gt;=C21),1,0),0))&gt;0,0,1)+IF((IF(RIGHT('班次明細'!O6,2)="炸區",IF(AND('班次明細'!L6&gt;0,'班次明細'!G6&lt;=B21,'班次明細'!H6&gt;=C21),1,0),0)+IF(RIGHT('班次明細'!O13,2)="炸區",IF(AND('班次明細'!L13&gt;0,'班次明細'!G13&lt;=B21,'班次明細'!H13&gt;=C21),1,0),0)+IF(RIGHT('班次明細'!O20,2)="炸區",IF(AND('班次明細'!L20&gt;0,'班次明細'!G20&lt;=B21,'班次明細'!H20&gt;=C21),1,0),0)+IF(RIGHT('班次明細'!O27,2)="炸區",IF(AND('班次明細'!L27&gt;0,'班次明細'!G27&lt;=B21,'班次明細'!H27&gt;=C21),1,0),0)+IF(RIGHT('班次明細'!O34,2)="炸區",IF(AND('班次明細'!L34&gt;0,'班次明細'!G34&lt;=B21,'班次明細'!H34&gt;=C21),1,0),0)+IF(RIGHT('班次明細'!O41,2)="炸區",IF(AND('班次明細'!L41&gt;0,'班次明細'!G41&lt;=B21,'班次明細'!H41&gt;=C21),1,0),0)+IF(RIGHT('班次明細'!O48,2)="炸區",IF(AND('班次明細'!L48&gt;0,'班次明細'!G48&lt;=B21,'班次明細'!H48&gt;=C21),1,0),0)+IF(RIGHT('班次明細'!O55,2)="炸區",IF(AND('班次明細'!L55&gt;0,'班次明細'!G55&lt;=B21,'班次明細'!H55&gt;=C21),1,0),0)+IF(RIGHT('班次明細'!O62,2)="炸區",IF(AND('班次明細'!L62&gt;0,'班次明細'!G62&lt;=B21,'班次明細'!H62&gt;=C21),1,0),0)+IF(RIGHT('班次明細'!O69,2)="炸區",IF(AND('班次明細'!L69&gt;0,'班次明細'!G69&lt;=B21,'班次明細'!H69&gt;=C21),1,0),0)+IF(RIGHT('班次明細'!O76,2)="炸區",IF(AND('班次明細'!L76&gt;0,'班次明細'!G76&lt;=B21,'班次明細'!H76&gt;=C21),1,0),0))&gt;0,0,1)</x:f>
        <x:v>0</x:v>
      </x:c>
      <x:c r="K21" s="11" t="str">
        <x:v>P01:外場；P02:吧台；P07:料區；P08:炸區；P09:司爐</x:v>
      </x:c>
      <x:c r="L21" s="11" t="str">
        <x:f>IF(OR(H21&gt;0,I21&gt;0,J21&gt;0),"缺口／超額待處理","主崗齊；休息待現場")</x:f>
        <x:v>主崗齊；休息待現場</x:v>
      </x:c>
    </x:row>
    <x:row r="22" ht="42" customHeight="1">
      <x:c r="A22" s="12" t="n">
        <x:v>46314</x:v>
      </x:c>
      <x:c r="B22" s="13" t="n">
        <x:v>0.75</x:v>
      </x:c>
      <x:c r="C22" s="13" t="n">
        <x:v>0.7708333333333334</x:v>
      </x:c>
      <x:c r="D22" s="2" t="str">
        <x:v>晚餐主崗</x:v>
      </x:c>
      <x:c r="E22" s="2" t="n">
        <x:v>5</x:v>
      </x:c>
      <x:c r="F22" s="2" t="n">
        <x:v>5</x:v>
      </x:c>
      <x:c r="G22" s="2" t="n">
        <x:f>IF(AND('班次明細'!L6&gt;0,'班次明細'!G6&lt;=B22,'班次明細'!H6&gt;=C22),1,0)+IF(AND('班次明細'!L13&gt;0,'班次明細'!G13&lt;=B22,'班次明細'!H13&gt;=C22),1,0)+IF(AND('班次明細'!L20&gt;0,'班次明細'!G20&lt;=B22,'班次明細'!H20&gt;=C22),1,0)+IF(AND('班次明細'!L27&gt;0,'班次明細'!G27&lt;=B22,'班次明細'!H27&gt;=C22),1,0)+IF(AND('班次明細'!L34&gt;0,'班次明細'!G34&lt;=B22,'班次明細'!H34&gt;=C22),1,0)+IF(AND('班次明細'!L41&gt;0,'班次明細'!G41&lt;=B22,'班次明細'!H41&gt;=C22),1,0)+IF(AND('班次明細'!L48&gt;0,'班次明細'!G48&lt;=B22,'班次明細'!H48&gt;=C22),1,0)+IF(AND('班次明細'!L55&gt;0,'班次明細'!G55&lt;=B22,'班次明細'!H55&gt;=C22),1,0)+IF(AND('班次明細'!L62&gt;0,'班次明細'!G62&lt;=B22,'班次明細'!H62&gt;=C22),1,0)+IF(AND('班次明細'!L69&gt;0,'班次明細'!G69&lt;=B22,'班次明細'!H69&gt;=C22),1,0)+IF(AND('班次明細'!L76&gt;0,'班次明細'!G76&lt;=B22,'班次明細'!H76&gt;=C22),1,0)</x:f>
        <x:v>5</x:v>
      </x:c>
      <x:c r="H22" s="2" t="n">
        <x:f>MAX(0,E22-G22)</x:f>
        <x:v>0</x:v>
      </x:c>
      <x:c r="I22" s="2" t="n">
        <x:f>IF(F22="",0,MAX(0,G22-F22))</x:f>
        <x:v>0</x:v>
      </x:c>
      <x:c r="J22" s="2" t="n">
        <x:f>IF((IF(RIGHT('班次明細'!O6,2)="外場",IF(AND('班次明細'!L6&gt;0,'班次明細'!G6&lt;=B22,'班次明細'!H6&gt;=C22),1,0),0)+IF(RIGHT('班次明細'!O13,2)="外場",IF(AND('班次明細'!L13&gt;0,'班次明細'!G13&lt;=B22,'班次明細'!H13&gt;=C22),1,0),0)+IF(RIGHT('班次明細'!O20,2)="外場",IF(AND('班次明細'!L20&gt;0,'班次明細'!G20&lt;=B22,'班次明細'!H20&gt;=C22),1,0),0)+IF(RIGHT('班次明細'!O27,2)="外場",IF(AND('班次明細'!L27&gt;0,'班次明細'!G27&lt;=B22,'班次明細'!H27&gt;=C22),1,0),0)+IF(RIGHT('班次明細'!O34,2)="外場",IF(AND('班次明細'!L34&gt;0,'班次明細'!G34&lt;=B22,'班次明細'!H34&gt;=C22),1,0),0)+IF(RIGHT('班次明細'!O41,2)="外場",IF(AND('班次明細'!L41&gt;0,'班次明細'!G41&lt;=B22,'班次明細'!H41&gt;=C22),1,0),0)+IF(RIGHT('班次明細'!O48,2)="外場",IF(AND('班次明細'!L48&gt;0,'班次明細'!G48&lt;=B22,'班次明細'!H48&gt;=C22),1,0),0)+IF(RIGHT('班次明細'!O55,2)="外場",IF(AND('班次明細'!L55&gt;0,'班次明細'!G55&lt;=B22,'班次明細'!H55&gt;=C22),1,0),0)+IF(RIGHT('班次明細'!O62,2)="外場",IF(AND('班次明細'!L62&gt;0,'班次明細'!G62&lt;=B22,'班次明細'!H62&gt;=C22),1,0),0)+IF(RIGHT('班次明細'!O69,2)="外場",IF(AND('班次明細'!L69&gt;0,'班次明細'!G69&lt;=B22,'班次明細'!H69&gt;=C22),1,0),0)+IF(RIGHT('班次明細'!O76,2)="外場",IF(AND('班次明細'!L76&gt;0,'班次明細'!G76&lt;=B22,'班次明細'!H76&gt;=C22),1,0),0))&gt;0,0,1)+IF((IF(RIGHT('班次明細'!O6,2)="吧台",IF(AND('班次明細'!L6&gt;0,'班次明細'!G6&lt;=B22,'班次明細'!H6&gt;=C22),1,0),0)+IF(RIGHT('班次明細'!O13,2)="吧台",IF(AND('班次明細'!L13&gt;0,'班次明細'!G13&lt;=B22,'班次明細'!H13&gt;=C22),1,0),0)+IF(RIGHT('班次明細'!O20,2)="吧台",IF(AND('班次明細'!L20&gt;0,'班次明細'!G20&lt;=B22,'班次明細'!H20&gt;=C22),1,0),0)+IF(RIGHT('班次明細'!O27,2)="吧台",IF(AND('班次明細'!L27&gt;0,'班次明細'!G27&lt;=B22,'班次明細'!H27&gt;=C22),1,0),0)+IF(RIGHT('班次明細'!O34,2)="吧台",IF(AND('班次明細'!L34&gt;0,'班次明細'!G34&lt;=B22,'班次明細'!H34&gt;=C22),1,0),0)+IF(RIGHT('班次明細'!O41,2)="吧台",IF(AND('班次明細'!L41&gt;0,'班次明細'!G41&lt;=B22,'班次明細'!H41&gt;=C22),1,0),0)+IF(RIGHT('班次明細'!O48,2)="吧台",IF(AND('班次明細'!L48&gt;0,'班次明細'!G48&lt;=B22,'班次明細'!H48&gt;=C22),1,0),0)+IF(RIGHT('班次明細'!O55,2)="吧台",IF(AND('班次明細'!L55&gt;0,'班次明細'!G55&lt;=B22,'班次明細'!H55&gt;=C22),1,0),0)+IF(RIGHT('班次明細'!O62,2)="吧台",IF(AND('班次明細'!L62&gt;0,'班次明細'!G62&lt;=B22,'班次明細'!H62&gt;=C22),1,0),0)+IF(RIGHT('班次明細'!O69,2)="吧台",IF(AND('班次明細'!L69&gt;0,'班次明細'!G69&lt;=B22,'班次明細'!H69&gt;=C22),1,0),0)+IF(RIGHT('班次明細'!O76,2)="吧台",IF(AND('班次明細'!L76&gt;0,'班次明細'!G76&lt;=B22,'班次明細'!H76&gt;=C22),1,0),0))&gt;0,0,1)+IF((IF(RIGHT('班次明細'!O6,2)="司爐",IF(AND('班次明細'!L6&gt;0,'班次明細'!G6&lt;=B22,'班次明細'!H6&gt;=C22),1,0),0)+IF(RIGHT('班次明細'!O13,2)="司爐",IF(AND('班次明細'!L13&gt;0,'班次明細'!G13&lt;=B22,'班次明細'!H13&gt;=C22),1,0),0)+IF(RIGHT('班次明細'!O20,2)="司爐",IF(AND('班次明細'!L20&gt;0,'班次明細'!G20&lt;=B22,'班次明細'!H20&gt;=C22),1,0),0)+IF(RIGHT('班次明細'!O27,2)="司爐",IF(AND('班次明細'!L27&gt;0,'班次明細'!G27&lt;=B22,'班次明細'!H27&gt;=C22),1,0),0)+IF(RIGHT('班次明細'!O34,2)="司爐",IF(AND('班次明細'!L34&gt;0,'班次明細'!G34&lt;=B22,'班次明細'!H34&gt;=C22),1,0),0)+IF(RIGHT('班次明細'!O41,2)="司爐",IF(AND('班次明細'!L41&gt;0,'班次明細'!G41&lt;=B22,'班次明細'!H41&gt;=C22),1,0),0)+IF(RIGHT('班次明細'!O48,2)="司爐",IF(AND('班次明細'!L48&gt;0,'班次明細'!G48&lt;=B22,'班次明細'!H48&gt;=C22),1,0),0)+IF(RIGHT('班次明細'!O55,2)="司爐",IF(AND('班次明細'!L55&gt;0,'班次明細'!G55&lt;=B22,'班次明細'!H55&gt;=C22),1,0),0)+IF(RIGHT('班次明細'!O62,2)="司爐",IF(AND('班次明細'!L62&gt;0,'班次明細'!G62&lt;=B22,'班次明細'!H62&gt;=C22),1,0),0)+IF(RIGHT('班次明細'!O69,2)="司爐",IF(AND('班次明細'!L69&gt;0,'班次明細'!G69&lt;=B22,'班次明細'!H69&gt;=C22),1,0),0)+IF(RIGHT('班次明細'!O76,2)="司爐",IF(AND('班次明細'!L76&gt;0,'班次明細'!G76&lt;=B22,'班次明細'!H76&gt;=C22),1,0),0))&gt;0,0,1)+IF((IF(RIGHT('班次明細'!O6,2)="料區",IF(AND('班次明細'!L6&gt;0,'班次明細'!G6&lt;=B22,'班次明細'!H6&gt;=C22),1,0),0)+IF(RIGHT('班次明細'!O13,2)="料區",IF(AND('班次明細'!L13&gt;0,'班次明細'!G13&lt;=B22,'班次明細'!H13&gt;=C22),1,0),0)+IF(RIGHT('班次明細'!O20,2)="料區",IF(AND('班次明細'!L20&gt;0,'班次明細'!G20&lt;=B22,'班次明細'!H20&gt;=C22),1,0),0)+IF(RIGHT('班次明細'!O27,2)="料區",IF(AND('班次明細'!L27&gt;0,'班次明細'!G27&lt;=B22,'班次明細'!H27&gt;=C22),1,0),0)+IF(RIGHT('班次明細'!O34,2)="料區",IF(AND('班次明細'!L34&gt;0,'班次明細'!G34&lt;=B22,'班次明細'!H34&gt;=C22),1,0),0)+IF(RIGHT('班次明細'!O41,2)="料區",IF(AND('班次明細'!L41&gt;0,'班次明細'!G41&lt;=B22,'班次明細'!H41&gt;=C22),1,0),0)+IF(RIGHT('班次明細'!O48,2)="料區",IF(AND('班次明細'!L48&gt;0,'班次明細'!G48&lt;=B22,'班次明細'!H48&gt;=C22),1,0),0)+IF(RIGHT('班次明細'!O55,2)="料區",IF(AND('班次明細'!L55&gt;0,'班次明細'!G55&lt;=B22,'班次明細'!H55&gt;=C22),1,0),0)+IF(RIGHT('班次明細'!O62,2)="料區",IF(AND('班次明細'!L62&gt;0,'班次明細'!G62&lt;=B22,'班次明細'!H62&gt;=C22),1,0),0)+IF(RIGHT('班次明細'!O69,2)="料區",IF(AND('班次明細'!L69&gt;0,'班次明細'!G69&lt;=B22,'班次明細'!H69&gt;=C22),1,0),0)+IF(RIGHT('班次明細'!O76,2)="料區",IF(AND('班次明細'!L76&gt;0,'班次明細'!G76&lt;=B22,'班次明細'!H76&gt;=C22),1,0),0))&gt;0,0,1)+IF((IF(RIGHT('班次明細'!O6,2)="炸區",IF(AND('班次明細'!L6&gt;0,'班次明細'!G6&lt;=B22,'班次明細'!H6&gt;=C22),1,0),0)+IF(RIGHT('班次明細'!O13,2)="炸區",IF(AND('班次明細'!L13&gt;0,'班次明細'!G13&lt;=B22,'班次明細'!H13&gt;=C22),1,0),0)+IF(RIGHT('班次明細'!O20,2)="炸區",IF(AND('班次明細'!L20&gt;0,'班次明細'!G20&lt;=B22,'班次明細'!H20&gt;=C22),1,0),0)+IF(RIGHT('班次明細'!O27,2)="炸區",IF(AND('班次明細'!L27&gt;0,'班次明細'!G27&lt;=B22,'班次明細'!H27&gt;=C22),1,0),0)+IF(RIGHT('班次明細'!O34,2)="炸區",IF(AND('班次明細'!L34&gt;0,'班次明細'!G34&lt;=B22,'班次明細'!H34&gt;=C22),1,0),0)+IF(RIGHT('班次明細'!O41,2)="炸區",IF(AND('班次明細'!L41&gt;0,'班次明細'!G41&lt;=B22,'班次明細'!H41&gt;=C22),1,0),0)+IF(RIGHT('班次明細'!O48,2)="炸區",IF(AND('班次明細'!L48&gt;0,'班次明細'!G48&lt;=B22,'班次明細'!H48&gt;=C22),1,0),0)+IF(RIGHT('班次明細'!O55,2)="炸區",IF(AND('班次明細'!L55&gt;0,'班次明細'!G55&lt;=B22,'班次明細'!H55&gt;=C22),1,0),0)+IF(RIGHT('班次明細'!O62,2)="炸區",IF(AND('班次明細'!L62&gt;0,'班次明細'!G62&lt;=B22,'班次明細'!H62&gt;=C22),1,0),0)+IF(RIGHT('班次明細'!O69,2)="炸區",IF(AND('班次明細'!L69&gt;0,'班次明細'!G69&lt;=B22,'班次明細'!H69&gt;=C22),1,0),0)+IF(RIGHT('班次明細'!O76,2)="炸區",IF(AND('班次明細'!L76&gt;0,'班次明細'!G76&lt;=B22,'班次明細'!H76&gt;=C22),1,0),0))&gt;0,0,1)</x:f>
        <x:v>0</x:v>
      </x:c>
      <x:c r="K22" s="11" t="str">
        <x:v>P01:外場；P02:吧台；P07:料區；P08:炸區；P09:司爐</x:v>
      </x:c>
      <x:c r="L22" s="11" t="str">
        <x:f>IF(OR(H22&gt;0,I22&gt;0,J22&gt;0),"缺口／超額待處理","主崗齊；休息待現場")</x:f>
        <x:v>主崗齊；休息待現場</x:v>
      </x:c>
    </x:row>
    <x:row r="23" ht="42" customHeight="1">
      <x:c r="A23" s="12" t="n">
        <x:v>46314</x:v>
      </x:c>
      <x:c r="B23" s="13" t="n">
        <x:v>0.7708333333333334</x:v>
      </x:c>
      <x:c r="C23" s="13" t="n">
        <x:v>0.7916666666666666</x:v>
      </x:c>
      <x:c r="D23" s="2" t="str">
        <x:v>晚餐主崗</x:v>
      </x:c>
      <x:c r="E23" s="2" t="n">
        <x:v>5</x:v>
      </x:c>
      <x:c r="F23" s="2" t="n">
        <x:v>5</x:v>
      </x:c>
      <x:c r="G23" s="2" t="n">
        <x:f>IF(AND('班次明細'!L6&gt;0,'班次明細'!G6&lt;=B23,'班次明細'!H6&gt;=C23),1,0)+IF(AND('班次明細'!L13&gt;0,'班次明細'!G13&lt;=B23,'班次明細'!H13&gt;=C23),1,0)+IF(AND('班次明細'!L20&gt;0,'班次明細'!G20&lt;=B23,'班次明細'!H20&gt;=C23),1,0)+IF(AND('班次明細'!L27&gt;0,'班次明細'!G27&lt;=B23,'班次明細'!H27&gt;=C23),1,0)+IF(AND('班次明細'!L34&gt;0,'班次明細'!G34&lt;=B23,'班次明細'!H34&gt;=C23),1,0)+IF(AND('班次明細'!L41&gt;0,'班次明細'!G41&lt;=B23,'班次明細'!H41&gt;=C23),1,0)+IF(AND('班次明細'!L48&gt;0,'班次明細'!G48&lt;=B23,'班次明細'!H48&gt;=C23),1,0)+IF(AND('班次明細'!L55&gt;0,'班次明細'!G55&lt;=B23,'班次明細'!H55&gt;=C23),1,0)+IF(AND('班次明細'!L62&gt;0,'班次明細'!G62&lt;=B23,'班次明細'!H62&gt;=C23),1,0)+IF(AND('班次明細'!L69&gt;0,'班次明細'!G69&lt;=B23,'班次明細'!H69&gt;=C23),1,0)+IF(AND('班次明細'!L76&gt;0,'班次明細'!G76&lt;=B23,'班次明細'!H76&gt;=C23),1,0)</x:f>
        <x:v>5</x:v>
      </x:c>
      <x:c r="H23" s="2" t="n">
        <x:f>MAX(0,E23-G23)</x:f>
        <x:v>0</x:v>
      </x:c>
      <x:c r="I23" s="2" t="n">
        <x:f>IF(F23="",0,MAX(0,G23-F23))</x:f>
        <x:v>0</x:v>
      </x:c>
      <x:c r="J23" s="2" t="n">
        <x:f>IF((IF(RIGHT('班次明細'!O6,2)="外場",IF(AND('班次明細'!L6&gt;0,'班次明細'!G6&lt;=B23,'班次明細'!H6&gt;=C23),1,0),0)+IF(RIGHT('班次明細'!O13,2)="外場",IF(AND('班次明細'!L13&gt;0,'班次明細'!G13&lt;=B23,'班次明細'!H13&gt;=C23),1,0),0)+IF(RIGHT('班次明細'!O20,2)="外場",IF(AND('班次明細'!L20&gt;0,'班次明細'!G20&lt;=B23,'班次明細'!H20&gt;=C23),1,0),0)+IF(RIGHT('班次明細'!O27,2)="外場",IF(AND('班次明細'!L27&gt;0,'班次明細'!G27&lt;=B23,'班次明細'!H27&gt;=C23),1,0),0)+IF(RIGHT('班次明細'!O34,2)="外場",IF(AND('班次明細'!L34&gt;0,'班次明細'!G34&lt;=B23,'班次明細'!H34&gt;=C23),1,0),0)+IF(RIGHT('班次明細'!O41,2)="外場",IF(AND('班次明細'!L41&gt;0,'班次明細'!G41&lt;=B23,'班次明細'!H41&gt;=C23),1,0),0)+IF(RIGHT('班次明細'!O48,2)="外場",IF(AND('班次明細'!L48&gt;0,'班次明細'!G48&lt;=B23,'班次明細'!H48&gt;=C23),1,0),0)+IF(RIGHT('班次明細'!O55,2)="外場",IF(AND('班次明細'!L55&gt;0,'班次明細'!G55&lt;=B23,'班次明細'!H55&gt;=C23),1,0),0)+IF(RIGHT('班次明細'!O62,2)="外場",IF(AND('班次明細'!L62&gt;0,'班次明細'!G62&lt;=B23,'班次明細'!H62&gt;=C23),1,0),0)+IF(RIGHT('班次明細'!O69,2)="外場",IF(AND('班次明細'!L69&gt;0,'班次明細'!G69&lt;=B23,'班次明細'!H69&gt;=C23),1,0),0)+IF(RIGHT('班次明細'!O76,2)="外場",IF(AND('班次明細'!L76&gt;0,'班次明細'!G76&lt;=B23,'班次明細'!H76&gt;=C23),1,0),0))&gt;0,0,1)+IF((IF(RIGHT('班次明細'!O6,2)="吧台",IF(AND('班次明細'!L6&gt;0,'班次明細'!G6&lt;=B23,'班次明細'!H6&gt;=C23),1,0),0)+IF(RIGHT('班次明細'!O13,2)="吧台",IF(AND('班次明細'!L13&gt;0,'班次明細'!G13&lt;=B23,'班次明細'!H13&gt;=C23),1,0),0)+IF(RIGHT('班次明細'!O20,2)="吧台",IF(AND('班次明細'!L20&gt;0,'班次明細'!G20&lt;=B23,'班次明細'!H20&gt;=C23),1,0),0)+IF(RIGHT('班次明細'!O27,2)="吧台",IF(AND('班次明細'!L27&gt;0,'班次明細'!G27&lt;=B23,'班次明細'!H27&gt;=C23),1,0),0)+IF(RIGHT('班次明細'!O34,2)="吧台",IF(AND('班次明細'!L34&gt;0,'班次明細'!G34&lt;=B23,'班次明細'!H34&gt;=C23),1,0),0)+IF(RIGHT('班次明細'!O41,2)="吧台",IF(AND('班次明細'!L41&gt;0,'班次明細'!G41&lt;=B23,'班次明細'!H41&gt;=C23),1,0),0)+IF(RIGHT('班次明細'!O48,2)="吧台",IF(AND('班次明細'!L48&gt;0,'班次明細'!G48&lt;=B23,'班次明細'!H48&gt;=C23),1,0),0)+IF(RIGHT('班次明細'!O55,2)="吧台",IF(AND('班次明細'!L55&gt;0,'班次明細'!G55&lt;=B23,'班次明細'!H55&gt;=C23),1,0),0)+IF(RIGHT('班次明細'!O62,2)="吧台",IF(AND('班次明細'!L62&gt;0,'班次明細'!G62&lt;=B23,'班次明細'!H62&gt;=C23),1,0),0)+IF(RIGHT('班次明細'!O69,2)="吧台",IF(AND('班次明細'!L69&gt;0,'班次明細'!G69&lt;=B23,'班次明細'!H69&gt;=C23),1,0),0)+IF(RIGHT('班次明細'!O76,2)="吧台",IF(AND('班次明細'!L76&gt;0,'班次明細'!G76&lt;=B23,'班次明細'!H76&gt;=C23),1,0),0))&gt;0,0,1)+IF((IF(RIGHT('班次明細'!O6,2)="司爐",IF(AND('班次明細'!L6&gt;0,'班次明細'!G6&lt;=B23,'班次明細'!H6&gt;=C23),1,0),0)+IF(RIGHT('班次明細'!O13,2)="司爐",IF(AND('班次明細'!L13&gt;0,'班次明細'!G13&lt;=B23,'班次明細'!H13&gt;=C23),1,0),0)+IF(RIGHT('班次明細'!O20,2)="司爐",IF(AND('班次明細'!L20&gt;0,'班次明細'!G20&lt;=B23,'班次明細'!H20&gt;=C23),1,0),0)+IF(RIGHT('班次明細'!O27,2)="司爐",IF(AND('班次明細'!L27&gt;0,'班次明細'!G27&lt;=B23,'班次明細'!H27&gt;=C23),1,0),0)+IF(RIGHT('班次明細'!O34,2)="司爐",IF(AND('班次明細'!L34&gt;0,'班次明細'!G34&lt;=B23,'班次明細'!H34&gt;=C23),1,0),0)+IF(RIGHT('班次明細'!O41,2)="司爐",IF(AND('班次明細'!L41&gt;0,'班次明細'!G41&lt;=B23,'班次明細'!H41&gt;=C23),1,0),0)+IF(RIGHT('班次明細'!O48,2)="司爐",IF(AND('班次明細'!L48&gt;0,'班次明細'!G48&lt;=B23,'班次明細'!H48&gt;=C23),1,0),0)+IF(RIGHT('班次明細'!O55,2)="司爐",IF(AND('班次明細'!L55&gt;0,'班次明細'!G55&lt;=B23,'班次明細'!H55&gt;=C23),1,0),0)+IF(RIGHT('班次明細'!O62,2)="司爐",IF(AND('班次明細'!L62&gt;0,'班次明細'!G62&lt;=B23,'班次明細'!H62&gt;=C23),1,0),0)+IF(RIGHT('班次明細'!O69,2)="司爐",IF(AND('班次明細'!L69&gt;0,'班次明細'!G69&lt;=B23,'班次明細'!H69&gt;=C23),1,0),0)+IF(RIGHT('班次明細'!O76,2)="司爐",IF(AND('班次明細'!L76&gt;0,'班次明細'!G76&lt;=B23,'班次明細'!H76&gt;=C23),1,0),0))&gt;0,0,1)+IF((IF(RIGHT('班次明細'!O6,2)="料區",IF(AND('班次明細'!L6&gt;0,'班次明細'!G6&lt;=B23,'班次明細'!H6&gt;=C23),1,0),0)+IF(RIGHT('班次明細'!O13,2)="料區",IF(AND('班次明細'!L13&gt;0,'班次明細'!G13&lt;=B23,'班次明細'!H13&gt;=C23),1,0),0)+IF(RIGHT('班次明細'!O20,2)="料區",IF(AND('班次明細'!L20&gt;0,'班次明細'!G20&lt;=B23,'班次明細'!H20&gt;=C23),1,0),0)+IF(RIGHT('班次明細'!O27,2)="料區",IF(AND('班次明細'!L27&gt;0,'班次明細'!G27&lt;=B23,'班次明細'!H27&gt;=C23),1,0),0)+IF(RIGHT('班次明細'!O34,2)="料區",IF(AND('班次明細'!L34&gt;0,'班次明細'!G34&lt;=B23,'班次明細'!H34&gt;=C23),1,0),0)+IF(RIGHT('班次明細'!O41,2)="料區",IF(AND('班次明細'!L41&gt;0,'班次明細'!G41&lt;=B23,'班次明細'!H41&gt;=C23),1,0),0)+IF(RIGHT('班次明細'!O48,2)="料區",IF(AND('班次明細'!L48&gt;0,'班次明細'!G48&lt;=B23,'班次明細'!H48&gt;=C23),1,0),0)+IF(RIGHT('班次明細'!O55,2)="料區",IF(AND('班次明細'!L55&gt;0,'班次明細'!G55&lt;=B23,'班次明細'!H55&gt;=C23),1,0),0)+IF(RIGHT('班次明細'!O62,2)="料區",IF(AND('班次明細'!L62&gt;0,'班次明細'!G62&lt;=B23,'班次明細'!H62&gt;=C23),1,0),0)+IF(RIGHT('班次明細'!O69,2)="料區",IF(AND('班次明細'!L69&gt;0,'班次明細'!G69&lt;=B23,'班次明細'!H69&gt;=C23),1,0),0)+IF(RIGHT('班次明細'!O76,2)="料區",IF(AND('班次明細'!L76&gt;0,'班次明細'!G76&lt;=B23,'班次明細'!H76&gt;=C23),1,0),0))&gt;0,0,1)+IF((IF(RIGHT('班次明細'!O6,2)="炸區",IF(AND('班次明細'!L6&gt;0,'班次明細'!G6&lt;=B23,'班次明細'!H6&gt;=C23),1,0),0)+IF(RIGHT('班次明細'!O13,2)="炸區",IF(AND('班次明細'!L13&gt;0,'班次明細'!G13&lt;=B23,'班次明細'!H13&gt;=C23),1,0),0)+IF(RIGHT('班次明細'!O20,2)="炸區",IF(AND('班次明細'!L20&gt;0,'班次明細'!G20&lt;=B23,'班次明細'!H20&gt;=C23),1,0),0)+IF(RIGHT('班次明細'!O27,2)="炸區",IF(AND('班次明細'!L27&gt;0,'班次明細'!G27&lt;=B23,'班次明細'!H27&gt;=C23),1,0),0)+IF(RIGHT('班次明細'!O34,2)="炸區",IF(AND('班次明細'!L34&gt;0,'班次明細'!G34&lt;=B23,'班次明細'!H34&gt;=C23),1,0),0)+IF(RIGHT('班次明細'!O41,2)="炸區",IF(AND('班次明細'!L41&gt;0,'班次明細'!G41&lt;=B23,'班次明細'!H41&gt;=C23),1,0),0)+IF(RIGHT('班次明細'!O48,2)="炸區",IF(AND('班次明細'!L48&gt;0,'班次明細'!G48&lt;=B23,'班次明細'!H48&gt;=C23),1,0),0)+IF(RIGHT('班次明細'!O55,2)="炸區",IF(AND('班次明細'!L55&gt;0,'班次明細'!G55&lt;=B23,'班次明細'!H55&gt;=C23),1,0),0)+IF(RIGHT('班次明細'!O62,2)="炸區",IF(AND('班次明細'!L62&gt;0,'班次明細'!G62&lt;=B23,'班次明細'!H62&gt;=C23),1,0),0)+IF(RIGHT('班次明細'!O69,2)="炸區",IF(AND('班次明細'!L69&gt;0,'班次明細'!G69&lt;=B23,'班次明細'!H69&gt;=C23),1,0),0)+IF(RIGHT('班次明細'!O76,2)="炸區",IF(AND('班次明細'!L76&gt;0,'班次明細'!G76&lt;=B23,'班次明細'!H76&gt;=C23),1,0),0))&gt;0,0,1)</x:f>
        <x:v>0</x:v>
      </x:c>
      <x:c r="K23" s="11" t="str">
        <x:v>P01:外場；P02:吧台；P07:料區；P08:炸區；P09:司爐</x:v>
      </x:c>
      <x:c r="L23" s="11" t="str">
        <x:f>IF(OR(H23&gt;0,I23&gt;0,J23&gt;0),"缺口／超額待處理","主崗齊；休息待現場")</x:f>
        <x:v>主崗齊；休息待現場</x:v>
      </x:c>
    </x:row>
    <x:row r="24" ht="42" customHeight="1">
      <x:c r="A24" s="12" t="n">
        <x:v>46314</x:v>
      </x:c>
      <x:c r="B24" s="13" t="n">
        <x:v>0.7916666666666666</x:v>
      </x:c>
      <x:c r="C24" s="13" t="n">
        <x:v>0.8125</x:v>
      </x:c>
      <x:c r="D24" s="2" t="str">
        <x:v>晚餐主崗</x:v>
      </x:c>
      <x:c r="E24" s="2" t="n">
        <x:v>5</x:v>
      </x:c>
      <x:c r="F24" s="2" t="n">
        <x:v>5</x:v>
      </x:c>
      <x:c r="G24" s="2" t="n">
        <x:f>IF(AND('班次明細'!L6&gt;0,'班次明細'!G6&lt;=B24,'班次明細'!H6&gt;=C24),1,0)+IF(AND('班次明細'!L13&gt;0,'班次明細'!G13&lt;=B24,'班次明細'!H13&gt;=C24),1,0)+IF(AND('班次明細'!L20&gt;0,'班次明細'!G20&lt;=B24,'班次明細'!H20&gt;=C24),1,0)+IF(AND('班次明細'!L27&gt;0,'班次明細'!G27&lt;=B24,'班次明細'!H27&gt;=C24),1,0)+IF(AND('班次明細'!L34&gt;0,'班次明細'!G34&lt;=B24,'班次明細'!H34&gt;=C24),1,0)+IF(AND('班次明細'!L41&gt;0,'班次明細'!G41&lt;=B24,'班次明細'!H41&gt;=C24),1,0)+IF(AND('班次明細'!L48&gt;0,'班次明細'!G48&lt;=B24,'班次明細'!H48&gt;=C24),1,0)+IF(AND('班次明細'!L55&gt;0,'班次明細'!G55&lt;=B24,'班次明細'!H55&gt;=C24),1,0)+IF(AND('班次明細'!L62&gt;0,'班次明細'!G62&lt;=B24,'班次明細'!H62&gt;=C24),1,0)+IF(AND('班次明細'!L69&gt;0,'班次明細'!G69&lt;=B24,'班次明細'!H69&gt;=C24),1,0)+IF(AND('班次明細'!L76&gt;0,'班次明細'!G76&lt;=B24,'班次明細'!H76&gt;=C24),1,0)</x:f>
        <x:v>5</x:v>
      </x:c>
      <x:c r="H24" s="2" t="n">
        <x:f>MAX(0,E24-G24)</x:f>
        <x:v>0</x:v>
      </x:c>
      <x:c r="I24" s="2" t="n">
        <x:f>IF(F24="",0,MAX(0,G24-F24))</x:f>
        <x:v>0</x:v>
      </x:c>
      <x:c r="J24" s="2" t="n">
        <x:f>IF((IF(RIGHT('班次明細'!O6,2)="外場",IF(AND('班次明細'!L6&gt;0,'班次明細'!G6&lt;=B24,'班次明細'!H6&gt;=C24),1,0),0)+IF(RIGHT('班次明細'!O13,2)="外場",IF(AND('班次明細'!L13&gt;0,'班次明細'!G13&lt;=B24,'班次明細'!H13&gt;=C24),1,0),0)+IF(RIGHT('班次明細'!O20,2)="外場",IF(AND('班次明細'!L20&gt;0,'班次明細'!G20&lt;=B24,'班次明細'!H20&gt;=C24),1,0),0)+IF(RIGHT('班次明細'!O27,2)="外場",IF(AND('班次明細'!L27&gt;0,'班次明細'!G27&lt;=B24,'班次明細'!H27&gt;=C24),1,0),0)+IF(RIGHT('班次明細'!O34,2)="外場",IF(AND('班次明細'!L34&gt;0,'班次明細'!G34&lt;=B24,'班次明細'!H34&gt;=C24),1,0),0)+IF(RIGHT('班次明細'!O41,2)="外場",IF(AND('班次明細'!L41&gt;0,'班次明細'!G41&lt;=B24,'班次明細'!H41&gt;=C24),1,0),0)+IF(RIGHT('班次明細'!O48,2)="外場",IF(AND('班次明細'!L48&gt;0,'班次明細'!G48&lt;=B24,'班次明細'!H48&gt;=C24),1,0),0)+IF(RIGHT('班次明細'!O55,2)="外場",IF(AND('班次明細'!L55&gt;0,'班次明細'!G55&lt;=B24,'班次明細'!H55&gt;=C24),1,0),0)+IF(RIGHT('班次明細'!O62,2)="外場",IF(AND('班次明細'!L62&gt;0,'班次明細'!G62&lt;=B24,'班次明細'!H62&gt;=C24),1,0),0)+IF(RIGHT('班次明細'!O69,2)="外場",IF(AND('班次明細'!L69&gt;0,'班次明細'!G69&lt;=B24,'班次明細'!H69&gt;=C24),1,0),0)+IF(RIGHT('班次明細'!O76,2)="外場",IF(AND('班次明細'!L76&gt;0,'班次明細'!G76&lt;=B24,'班次明細'!H76&gt;=C24),1,0),0))&gt;0,0,1)+IF((IF(RIGHT('班次明細'!O6,2)="吧台",IF(AND('班次明細'!L6&gt;0,'班次明細'!G6&lt;=B24,'班次明細'!H6&gt;=C24),1,0),0)+IF(RIGHT('班次明細'!O13,2)="吧台",IF(AND('班次明細'!L13&gt;0,'班次明細'!G13&lt;=B24,'班次明細'!H13&gt;=C24),1,0),0)+IF(RIGHT('班次明細'!O20,2)="吧台",IF(AND('班次明細'!L20&gt;0,'班次明細'!G20&lt;=B24,'班次明細'!H20&gt;=C24),1,0),0)+IF(RIGHT('班次明細'!O27,2)="吧台",IF(AND('班次明細'!L27&gt;0,'班次明細'!G27&lt;=B24,'班次明細'!H27&gt;=C24),1,0),0)+IF(RIGHT('班次明細'!O34,2)="吧台",IF(AND('班次明細'!L34&gt;0,'班次明細'!G34&lt;=B24,'班次明細'!H34&gt;=C24),1,0),0)+IF(RIGHT('班次明細'!O41,2)="吧台",IF(AND('班次明細'!L41&gt;0,'班次明細'!G41&lt;=B24,'班次明細'!H41&gt;=C24),1,0),0)+IF(RIGHT('班次明細'!O48,2)="吧台",IF(AND('班次明細'!L48&gt;0,'班次明細'!G48&lt;=B24,'班次明細'!H48&gt;=C24),1,0),0)+IF(RIGHT('班次明細'!O55,2)="吧台",IF(AND('班次明細'!L55&gt;0,'班次明細'!G55&lt;=B24,'班次明細'!H55&gt;=C24),1,0),0)+IF(RIGHT('班次明細'!O62,2)="吧台",IF(AND('班次明細'!L62&gt;0,'班次明細'!G62&lt;=B24,'班次明細'!H62&gt;=C24),1,0),0)+IF(RIGHT('班次明細'!O69,2)="吧台",IF(AND('班次明細'!L69&gt;0,'班次明細'!G69&lt;=B24,'班次明細'!H69&gt;=C24),1,0),0)+IF(RIGHT('班次明細'!O76,2)="吧台",IF(AND('班次明細'!L76&gt;0,'班次明細'!G76&lt;=B24,'班次明細'!H76&gt;=C24),1,0),0))&gt;0,0,1)+IF((IF(RIGHT('班次明細'!O6,2)="司爐",IF(AND('班次明細'!L6&gt;0,'班次明細'!G6&lt;=B24,'班次明細'!H6&gt;=C24),1,0),0)+IF(RIGHT('班次明細'!O13,2)="司爐",IF(AND('班次明細'!L13&gt;0,'班次明細'!G13&lt;=B24,'班次明細'!H13&gt;=C24),1,0),0)+IF(RIGHT('班次明細'!O20,2)="司爐",IF(AND('班次明細'!L20&gt;0,'班次明細'!G20&lt;=B24,'班次明細'!H20&gt;=C24),1,0),0)+IF(RIGHT('班次明細'!O27,2)="司爐",IF(AND('班次明細'!L27&gt;0,'班次明細'!G27&lt;=B24,'班次明細'!H27&gt;=C24),1,0),0)+IF(RIGHT('班次明細'!O34,2)="司爐",IF(AND('班次明細'!L34&gt;0,'班次明細'!G34&lt;=B24,'班次明細'!H34&gt;=C24),1,0),0)+IF(RIGHT('班次明細'!O41,2)="司爐",IF(AND('班次明細'!L41&gt;0,'班次明細'!G41&lt;=B24,'班次明細'!H41&gt;=C24),1,0),0)+IF(RIGHT('班次明細'!O48,2)="司爐",IF(AND('班次明細'!L48&gt;0,'班次明細'!G48&lt;=B24,'班次明細'!H48&gt;=C24),1,0),0)+IF(RIGHT('班次明細'!O55,2)="司爐",IF(AND('班次明細'!L55&gt;0,'班次明細'!G55&lt;=B24,'班次明細'!H55&gt;=C24),1,0),0)+IF(RIGHT('班次明細'!O62,2)="司爐",IF(AND('班次明細'!L62&gt;0,'班次明細'!G62&lt;=B24,'班次明細'!H62&gt;=C24),1,0),0)+IF(RIGHT('班次明細'!O69,2)="司爐",IF(AND('班次明細'!L69&gt;0,'班次明細'!G69&lt;=B24,'班次明細'!H69&gt;=C24),1,0),0)+IF(RIGHT('班次明細'!O76,2)="司爐",IF(AND('班次明細'!L76&gt;0,'班次明細'!G76&lt;=B24,'班次明細'!H76&gt;=C24),1,0),0))&gt;0,0,1)+IF((IF(RIGHT('班次明細'!O6,2)="料區",IF(AND('班次明細'!L6&gt;0,'班次明細'!G6&lt;=B24,'班次明細'!H6&gt;=C24),1,0),0)+IF(RIGHT('班次明細'!O13,2)="料區",IF(AND('班次明細'!L13&gt;0,'班次明細'!G13&lt;=B24,'班次明細'!H13&gt;=C24),1,0),0)+IF(RIGHT('班次明細'!O20,2)="料區",IF(AND('班次明細'!L20&gt;0,'班次明細'!G20&lt;=B24,'班次明細'!H20&gt;=C24),1,0),0)+IF(RIGHT('班次明細'!O27,2)="料區",IF(AND('班次明細'!L27&gt;0,'班次明細'!G27&lt;=B24,'班次明細'!H27&gt;=C24),1,0),0)+IF(RIGHT('班次明細'!O34,2)="料區",IF(AND('班次明細'!L34&gt;0,'班次明細'!G34&lt;=B24,'班次明細'!H34&gt;=C24),1,0),0)+IF(RIGHT('班次明細'!O41,2)="料區",IF(AND('班次明細'!L41&gt;0,'班次明細'!G41&lt;=B24,'班次明細'!H41&gt;=C24),1,0),0)+IF(RIGHT('班次明細'!O48,2)="料區",IF(AND('班次明細'!L48&gt;0,'班次明細'!G48&lt;=B24,'班次明細'!H48&gt;=C24),1,0),0)+IF(RIGHT('班次明細'!O55,2)="料區",IF(AND('班次明細'!L55&gt;0,'班次明細'!G55&lt;=B24,'班次明細'!H55&gt;=C24),1,0),0)+IF(RIGHT('班次明細'!O62,2)="料區",IF(AND('班次明細'!L62&gt;0,'班次明細'!G62&lt;=B24,'班次明細'!H62&gt;=C24),1,0),0)+IF(RIGHT('班次明細'!O69,2)="料區",IF(AND('班次明細'!L69&gt;0,'班次明細'!G69&lt;=B24,'班次明細'!H69&gt;=C24),1,0),0)+IF(RIGHT('班次明細'!O76,2)="料區",IF(AND('班次明細'!L76&gt;0,'班次明細'!G76&lt;=B24,'班次明細'!H76&gt;=C24),1,0),0))&gt;0,0,1)+IF((IF(RIGHT('班次明細'!O6,2)="炸區",IF(AND('班次明細'!L6&gt;0,'班次明細'!G6&lt;=B24,'班次明細'!H6&gt;=C24),1,0),0)+IF(RIGHT('班次明細'!O13,2)="炸區",IF(AND('班次明細'!L13&gt;0,'班次明細'!G13&lt;=B24,'班次明細'!H13&gt;=C24),1,0),0)+IF(RIGHT('班次明細'!O20,2)="炸區",IF(AND('班次明細'!L20&gt;0,'班次明細'!G20&lt;=B24,'班次明細'!H20&gt;=C24),1,0),0)+IF(RIGHT('班次明細'!O27,2)="炸區",IF(AND('班次明細'!L27&gt;0,'班次明細'!G27&lt;=B24,'班次明細'!H27&gt;=C24),1,0),0)+IF(RIGHT('班次明細'!O34,2)="炸區",IF(AND('班次明細'!L34&gt;0,'班次明細'!G34&lt;=B24,'班次明細'!H34&gt;=C24),1,0),0)+IF(RIGHT('班次明細'!O41,2)="炸區",IF(AND('班次明細'!L41&gt;0,'班次明細'!G41&lt;=B24,'班次明細'!H41&gt;=C24),1,0),0)+IF(RIGHT('班次明細'!O48,2)="炸區",IF(AND('班次明細'!L48&gt;0,'班次明細'!G48&lt;=B24,'班次明細'!H48&gt;=C24),1,0),0)+IF(RIGHT('班次明細'!O55,2)="炸區",IF(AND('班次明細'!L55&gt;0,'班次明細'!G55&lt;=B24,'班次明細'!H55&gt;=C24),1,0),0)+IF(RIGHT('班次明細'!O62,2)="炸區",IF(AND('班次明細'!L62&gt;0,'班次明細'!G62&lt;=B24,'班次明細'!H62&gt;=C24),1,0),0)+IF(RIGHT('班次明細'!O69,2)="炸區",IF(AND('班次明細'!L69&gt;0,'班次明細'!G69&lt;=B24,'班次明細'!H69&gt;=C24),1,0),0)+IF(RIGHT('班次明細'!O76,2)="炸區",IF(AND('班次明細'!L76&gt;0,'班次明細'!G76&lt;=B24,'班次明細'!H76&gt;=C24),1,0),0))&gt;0,0,1)</x:f>
        <x:v>0</x:v>
      </x:c>
      <x:c r="K24" s="11" t="str">
        <x:v>P01:外場；P02:吧台；P07:料區；P08:炸區；P09:司爐</x:v>
      </x:c>
      <x:c r="L24" s="11" t="str">
        <x:f>IF(OR(H24&gt;0,I24&gt;0,J24&gt;0),"缺口／超額待處理","主崗齊；休息待現場")</x:f>
        <x:v>主崗齊；休息待現場</x:v>
      </x:c>
    </x:row>
    <x:row r="25" ht="42" customHeight="1">
      <x:c r="A25" s="12" t="n">
        <x:v>46314</x:v>
      </x:c>
      <x:c r="B25" s="13" t="n">
        <x:v>0.8125</x:v>
      </x:c>
      <x:c r="C25" s="13" t="n">
        <x:v>0.8333333333333334</x:v>
      </x:c>
      <x:c r="D25" s="2" t="str">
        <x:v>營運參考</x:v>
      </x:c>
      <x:c r="E25" s="2" t="n">
        <x:v>0</x:v>
      </x:c>
      <x:c r="F25" s="2"/>
      <x:c r="G25" s="2" t="n">
        <x:f>IF(AND('班次明細'!L6&gt;0,'班次明細'!G6&lt;=B25,'班次明細'!H6&gt;=C25),1,0)+IF(AND('班次明細'!L13&gt;0,'班次明細'!G13&lt;=B25,'班次明細'!H13&gt;=C25),1,0)+IF(AND('班次明細'!L20&gt;0,'班次明細'!G20&lt;=B25,'班次明細'!H20&gt;=C25),1,0)+IF(AND('班次明細'!L27&gt;0,'班次明細'!G27&lt;=B25,'班次明細'!H27&gt;=C25),1,0)+IF(AND('班次明細'!L34&gt;0,'班次明細'!G34&lt;=B25,'班次明細'!H34&gt;=C25),1,0)+IF(AND('班次明細'!L41&gt;0,'班次明細'!G41&lt;=B25,'班次明細'!H41&gt;=C25),1,0)+IF(AND('班次明細'!L48&gt;0,'班次明細'!G48&lt;=B25,'班次明細'!H48&gt;=C25),1,0)+IF(AND('班次明細'!L55&gt;0,'班次明細'!G55&lt;=B25,'班次明細'!H55&gt;=C25),1,0)+IF(AND('班次明細'!L62&gt;0,'班次明細'!G62&lt;=B25,'班次明細'!H62&gt;=C25),1,0)+IF(AND('班次明細'!L69&gt;0,'班次明細'!G69&lt;=B25,'班次明細'!H69&gt;=C25),1,0)+IF(AND('班次明細'!L76&gt;0,'班次明細'!G76&lt;=B25,'班次明細'!H76&gt;=C25),1,0)</x:f>
        <x:v>5</x:v>
      </x:c>
      <x:c r="H25" s="2" t="n">
        <x:f>MAX(0,E25-G25)</x:f>
        <x:v>0</x:v>
      </x:c>
      <x:c r="I25" s="2" t="n">
        <x:f>IF(F25="",0,MAX(0,G25-F25))</x:f>
        <x:v>0</x:v>
      </x:c>
      <x:c r="J25" s="2" t="n">
        <x:v>0</x:v>
      </x:c>
      <x:c r="K25" s="11" t="str">
        <x:v>—</x:v>
      </x:c>
      <x:c r="L25" s="11" t="str">
        <x:f>"營運參考"</x:f>
        <x:v>營運參考</x:v>
      </x:c>
    </x:row>
    <x:row r="26" ht="42" customHeight="1">
      <x:c r="A26" s="12" t="n">
        <x:v>46314</x:v>
      </x:c>
      <x:c r="B26" s="13" t="n">
        <x:v>0.8333333333333334</x:v>
      </x:c>
      <x:c r="C26" s="13" t="n">
        <x:v>0.8541666666666666</x:v>
      </x:c>
      <x:c r="D26" s="2" t="str">
        <x:v>營運參考</x:v>
      </x:c>
      <x:c r="E26" s="2" t="n">
        <x:v>0</x:v>
      </x:c>
      <x:c r="F26" s="2"/>
      <x:c r="G26" s="2" t="n">
        <x:f>IF(AND('班次明細'!L6&gt;0,'班次明細'!G6&lt;=B26,'班次明細'!H6&gt;=C26),1,0)+IF(AND('班次明細'!L13&gt;0,'班次明細'!G13&lt;=B26,'班次明細'!H13&gt;=C26),1,0)+IF(AND('班次明細'!L20&gt;0,'班次明細'!G20&lt;=B26,'班次明細'!H20&gt;=C26),1,0)+IF(AND('班次明細'!L27&gt;0,'班次明細'!G27&lt;=B26,'班次明細'!H27&gt;=C26),1,0)+IF(AND('班次明細'!L34&gt;0,'班次明細'!G34&lt;=B26,'班次明細'!H34&gt;=C26),1,0)+IF(AND('班次明細'!L41&gt;0,'班次明細'!G41&lt;=B26,'班次明細'!H41&gt;=C26),1,0)+IF(AND('班次明細'!L48&gt;0,'班次明細'!G48&lt;=B26,'班次明細'!H48&gt;=C26),1,0)+IF(AND('班次明細'!L55&gt;0,'班次明細'!G55&lt;=B26,'班次明細'!H55&gt;=C26),1,0)+IF(AND('班次明細'!L62&gt;0,'班次明細'!G62&lt;=B26,'班次明細'!H62&gt;=C26),1,0)+IF(AND('班次明細'!L69&gt;0,'班次明細'!G69&lt;=B26,'班次明細'!H69&gt;=C26),1,0)+IF(AND('班次明細'!L76&gt;0,'班次明細'!G76&lt;=B26,'班次明細'!H76&gt;=C26),1,0)</x:f>
        <x:v>5</x:v>
      </x:c>
      <x:c r="H26" s="2" t="n">
        <x:f>MAX(0,E26-G26)</x:f>
        <x:v>0</x:v>
      </x:c>
      <x:c r="I26" s="2" t="n">
        <x:f>IF(F26="",0,MAX(0,G26-F26))</x:f>
        <x:v>0</x:v>
      </x:c>
      <x:c r="J26" s="2" t="n">
        <x:v>0</x:v>
      </x:c>
      <x:c r="K26" s="11" t="str">
        <x:v>—</x:v>
      </x:c>
      <x:c r="L26" s="11" t="str">
        <x:f>"營運參考"</x:f>
        <x:v>營運參考</x:v>
      </x:c>
    </x:row>
    <x:row r="27" ht="42" customHeight="1">
      <x:c r="A27" s="12" t="n">
        <x:v>46314</x:v>
      </x:c>
      <x:c r="B27" s="13" t="n">
        <x:v>0.8541666666666666</x:v>
      </x:c>
      <x:c r="C27" s="13" t="n">
        <x:v>0.875</x:v>
      </x:c>
      <x:c r="D27" s="2" t="str">
        <x:v>營運參考</x:v>
      </x:c>
      <x:c r="E27" s="2" t="n">
        <x:v>0</x:v>
      </x:c>
      <x:c r="F27" s="2"/>
      <x:c r="G27" s="2" t="n">
        <x:f>IF(AND('班次明細'!L6&gt;0,'班次明細'!G6&lt;=B27,'班次明細'!H6&gt;=C27),1,0)+IF(AND('班次明細'!L13&gt;0,'班次明細'!G13&lt;=B27,'班次明細'!H13&gt;=C27),1,0)+IF(AND('班次明細'!L20&gt;0,'班次明細'!G20&lt;=B27,'班次明細'!H20&gt;=C27),1,0)+IF(AND('班次明細'!L27&gt;0,'班次明細'!G27&lt;=B27,'班次明細'!H27&gt;=C27),1,0)+IF(AND('班次明細'!L34&gt;0,'班次明細'!G34&lt;=B27,'班次明細'!H34&gt;=C27),1,0)+IF(AND('班次明細'!L41&gt;0,'班次明細'!G41&lt;=B27,'班次明細'!H41&gt;=C27),1,0)+IF(AND('班次明細'!L48&gt;0,'班次明細'!G48&lt;=B27,'班次明細'!H48&gt;=C27),1,0)+IF(AND('班次明細'!L55&gt;0,'班次明細'!G55&lt;=B27,'班次明細'!H55&gt;=C27),1,0)+IF(AND('班次明細'!L62&gt;0,'班次明細'!G62&lt;=B27,'班次明細'!H62&gt;=C27),1,0)+IF(AND('班次明細'!L69&gt;0,'班次明細'!G69&lt;=B27,'班次明細'!H69&gt;=C27),1,0)+IF(AND('班次明細'!L76&gt;0,'班次明細'!G76&lt;=B27,'班次明細'!H76&gt;=C27),1,0)</x:f>
        <x:v>5</x:v>
      </x:c>
      <x:c r="H27" s="2" t="n">
        <x:f>MAX(0,E27-G27)</x:f>
        <x:v>0</x:v>
      </x:c>
      <x:c r="I27" s="2" t="n">
        <x:f>IF(F27="",0,MAX(0,G27-F27))</x:f>
        <x:v>0</x:v>
      </x:c>
      <x:c r="J27" s="2" t="n">
        <x:v>0</x:v>
      </x:c>
      <x:c r="K27" s="11" t="str">
        <x:v>—</x:v>
      </x:c>
      <x:c r="L27" s="11" t="str">
        <x:f>"營運參考"</x:f>
        <x:v>營運參考</x:v>
      </x:c>
    </x:row>
    <x:row r="28" ht="42" customHeight="1">
      <x:c r="A28" s="12" t="n">
        <x:v>46314</x:v>
      </x:c>
      <x:c r="B28" s="13" t="n">
        <x:v>0.875</x:v>
      </x:c>
      <x:c r="C28" s="13" t="n">
        <x:v>0.8958333333333334</x:v>
      </x:c>
      <x:c r="D28" s="2" t="str">
        <x:v>營運參考</x:v>
      </x:c>
      <x:c r="E28" s="2" t="n">
        <x:v>0</x:v>
      </x:c>
      <x:c r="F28" s="2"/>
      <x:c r="G28" s="2" t="n">
        <x:f>IF(AND('班次明細'!L6&gt;0,'班次明細'!G6&lt;=B28,'班次明細'!H6&gt;=C28),1,0)+IF(AND('班次明細'!L13&gt;0,'班次明細'!G13&lt;=B28,'班次明細'!H13&gt;=C28),1,0)+IF(AND('班次明細'!L20&gt;0,'班次明細'!G20&lt;=B28,'班次明細'!H20&gt;=C28),1,0)+IF(AND('班次明細'!L27&gt;0,'班次明細'!G27&lt;=B28,'班次明細'!H27&gt;=C28),1,0)+IF(AND('班次明細'!L34&gt;0,'班次明細'!G34&lt;=B28,'班次明細'!H34&gt;=C28),1,0)+IF(AND('班次明細'!L41&gt;0,'班次明細'!G41&lt;=B28,'班次明細'!H41&gt;=C28),1,0)+IF(AND('班次明細'!L48&gt;0,'班次明細'!G48&lt;=B28,'班次明細'!H48&gt;=C28),1,0)+IF(AND('班次明細'!L55&gt;0,'班次明細'!G55&lt;=B28,'班次明細'!H55&gt;=C28),1,0)+IF(AND('班次明細'!L62&gt;0,'班次明細'!G62&lt;=B28,'班次明細'!H62&gt;=C28),1,0)+IF(AND('班次明細'!L69&gt;0,'班次明細'!G69&lt;=B28,'班次明細'!H69&gt;=C28),1,0)+IF(AND('班次明細'!L76&gt;0,'班次明細'!G76&lt;=B28,'班次明細'!H76&gt;=C28),1,0)</x:f>
        <x:v>4</x:v>
      </x:c>
      <x:c r="H28" s="2" t="n">
        <x:f>MAX(0,E28-G28)</x:f>
        <x:v>0</x:v>
      </x:c>
      <x:c r="I28" s="2" t="n">
        <x:f>IF(F28="",0,MAX(0,G28-F28))</x:f>
        <x:v>0</x:v>
      </x:c>
      <x:c r="J28" s="2" t="n">
        <x:v>0</x:v>
      </x:c>
      <x:c r="K28" s="11" t="str">
        <x:v>—</x:v>
      </x:c>
      <x:c r="L28" s="11" t="str">
        <x:f>"營運參考"</x:f>
        <x:v>營運參考</x:v>
      </x:c>
    </x:row>
    <x:row r="29" ht="42" customHeight="1">
      <x:c r="A29" s="12" t="n">
        <x:v>46314</x:v>
      </x:c>
      <x:c r="B29" s="13" t="n">
        <x:v>0.8958333333333334</x:v>
      </x:c>
      <x:c r="C29" s="13" t="n">
        <x:v>0.9166666666666666</x:v>
      </x:c>
      <x:c r="D29" s="2" t="str">
        <x:v>營運參考</x:v>
      </x:c>
      <x:c r="E29" s="2" t="n">
        <x:v>0</x:v>
      </x:c>
      <x:c r="F29" s="2"/>
      <x:c r="G29" s="2" t="n">
        <x:f>IF(AND('班次明細'!L6&gt;0,'班次明細'!G6&lt;=B29,'班次明細'!H6&gt;=C29),1,0)+IF(AND('班次明細'!L13&gt;0,'班次明細'!G13&lt;=B29,'班次明細'!H13&gt;=C29),1,0)+IF(AND('班次明細'!L20&gt;0,'班次明細'!G20&lt;=B29,'班次明細'!H20&gt;=C29),1,0)+IF(AND('班次明細'!L27&gt;0,'班次明細'!G27&lt;=B29,'班次明細'!H27&gt;=C29),1,0)+IF(AND('班次明細'!L34&gt;0,'班次明細'!G34&lt;=B29,'班次明細'!H34&gt;=C29),1,0)+IF(AND('班次明細'!L41&gt;0,'班次明細'!G41&lt;=B29,'班次明細'!H41&gt;=C29),1,0)+IF(AND('班次明細'!L48&gt;0,'班次明細'!G48&lt;=B29,'班次明細'!H48&gt;=C29),1,0)+IF(AND('班次明細'!L55&gt;0,'班次明細'!G55&lt;=B29,'班次明細'!H55&gt;=C29),1,0)+IF(AND('班次明細'!L62&gt;0,'班次明細'!G62&lt;=B29,'班次明細'!H62&gt;=C29),1,0)+IF(AND('班次明細'!L69&gt;0,'班次明細'!G69&lt;=B29,'班次明細'!H69&gt;=C29),1,0)+IF(AND('班次明細'!L76&gt;0,'班次明細'!G76&lt;=B29,'班次明細'!H76&gt;=C29),1,0)</x:f>
        <x:v>0</x:v>
      </x:c>
      <x:c r="H29" s="2" t="n">
        <x:f>MAX(0,E29-G29)</x:f>
        <x:v>0</x:v>
      </x:c>
      <x:c r="I29" s="2" t="n">
        <x:f>IF(F29="",0,MAX(0,G29-F29))</x:f>
        <x:v>0</x:v>
      </x:c>
      <x:c r="J29" s="2" t="n">
        <x:v>0</x:v>
      </x:c>
      <x:c r="K29" s="11" t="str">
        <x:v>—</x:v>
      </x:c>
      <x:c r="L29" s="11" t="str">
        <x:f>"營運參考"</x:f>
        <x:v>營運參考</x:v>
      </x:c>
    </x:row>
    <x:row r="30" ht="42" customHeight="1">
      <x:c r="A30" s="12" t="n">
        <x:v>46315</x:v>
      </x:c>
      <x:c r="B30" s="13" t="n">
        <x:v>0.4166666666666667</x:v>
      </x:c>
      <x:c r="C30" s="13" t="n">
        <x:v>0.4375</x:v>
      </x:c>
      <x:c r="D30" s="2" t="str">
        <x:v>營運參考</x:v>
      </x:c>
      <x:c r="E30" s="2" t="n">
        <x:v>1</x:v>
      </x:c>
      <x:c r="F30" s="2"/>
      <x:c r="G30" s="2" t="n">
        <x:f>IF(AND('班次明細'!L7&gt;0,'班次明細'!G7&lt;=B30,'班次明細'!H7&gt;=C30),1,0)+IF(AND('班次明細'!L14&gt;0,'班次明細'!G14&lt;=B30,'班次明細'!H14&gt;=C30),1,0)+IF(AND('班次明細'!L21&gt;0,'班次明細'!G21&lt;=B30,'班次明細'!H21&gt;=C30),1,0)+IF(AND('班次明細'!L28&gt;0,'班次明細'!G28&lt;=B30,'班次明細'!H28&gt;=C30),1,0)+IF(AND('班次明細'!L35&gt;0,'班次明細'!G35&lt;=B30,'班次明細'!H35&gt;=C30),1,0)+IF(AND('班次明細'!L42&gt;0,'班次明細'!G42&lt;=B30,'班次明細'!H42&gt;=C30),1,0)+IF(AND('班次明細'!L49&gt;0,'班次明細'!G49&lt;=B30,'班次明細'!H49&gt;=C30),1,0)+IF(AND('班次明細'!L56&gt;0,'班次明細'!G56&lt;=B30,'班次明細'!H56&gt;=C30),1,0)+IF(AND('班次明細'!L63&gt;0,'班次明細'!G63&lt;=B30,'班次明細'!H63&gt;=C30),1,0)+IF(AND('班次明細'!L70&gt;0,'班次明細'!G70&lt;=B30,'班次明細'!H70&gt;=C30),1,0)+IF(AND('班次明細'!L77&gt;0,'班次明細'!G77&lt;=B30,'班次明細'!H77&gt;=C30),1,0)</x:f>
        <x:v>1</x:v>
      </x:c>
      <x:c r="H30" s="2" t="n">
        <x:f>MAX(0,E30-G30)</x:f>
        <x:v>0</x:v>
      </x:c>
      <x:c r="I30" s="2" t="n">
        <x:f>IF(F30="",0,MAX(0,G30-F30))</x:f>
        <x:v>0</x:v>
      </x:c>
      <x:c r="J30" s="2" t="n">
        <x:v>0</x:v>
      </x:c>
      <x:c r="K30" s="11" t="str">
        <x:v>—</x:v>
      </x:c>
      <x:c r="L30" s="11" t="str">
        <x:f>"營運參考"</x:f>
        <x:v>營運參考</x:v>
      </x:c>
    </x:row>
    <x:row r="31" ht="42" customHeight="1">
      <x:c r="A31" s="12" t="n">
        <x:v>46315</x:v>
      </x:c>
      <x:c r="B31" s="13" t="n">
        <x:v>0.4375</x:v>
      </x:c>
      <x:c r="C31" s="13" t="n">
        <x:v>0.4583333333333333</x:v>
      </x:c>
      <x:c r="D31" s="2" t="str">
        <x:v>營運參考</x:v>
      </x:c>
      <x:c r="E31" s="2" t="n">
        <x:v>1</x:v>
      </x:c>
      <x:c r="F31" s="2"/>
      <x:c r="G31" s="2" t="n">
        <x:f>IF(AND('班次明細'!L7&gt;0,'班次明細'!G7&lt;=B31,'班次明細'!H7&gt;=C31),1,0)+IF(AND('班次明細'!L14&gt;0,'班次明細'!G14&lt;=B31,'班次明細'!H14&gt;=C31),1,0)+IF(AND('班次明細'!L21&gt;0,'班次明細'!G21&lt;=B31,'班次明細'!H21&gt;=C31),1,0)+IF(AND('班次明細'!L28&gt;0,'班次明細'!G28&lt;=B31,'班次明細'!H28&gt;=C31),1,0)+IF(AND('班次明細'!L35&gt;0,'班次明細'!G35&lt;=B31,'班次明細'!H35&gt;=C31),1,0)+IF(AND('班次明細'!L42&gt;0,'班次明細'!G42&lt;=B31,'班次明細'!H42&gt;=C31),1,0)+IF(AND('班次明細'!L49&gt;0,'班次明細'!G49&lt;=B31,'班次明細'!H49&gt;=C31),1,0)+IF(AND('班次明細'!L56&gt;0,'班次明細'!G56&lt;=B31,'班次明細'!H56&gt;=C31),1,0)+IF(AND('班次明細'!L63&gt;0,'班次明細'!G63&lt;=B31,'班次明細'!H63&gt;=C31),1,0)+IF(AND('班次明細'!L70&gt;0,'班次明細'!G70&lt;=B31,'班次明細'!H70&gt;=C31),1,0)+IF(AND('班次明細'!L77&gt;0,'班次明細'!G77&lt;=B31,'班次明細'!H77&gt;=C31),1,0)</x:f>
        <x:v>1</x:v>
      </x:c>
      <x:c r="H31" s="2" t="n">
        <x:f>MAX(0,E31-G31)</x:f>
        <x:v>0</x:v>
      </x:c>
      <x:c r="I31" s="2" t="n">
        <x:f>IF(F31="",0,MAX(0,G31-F31))</x:f>
        <x:v>0</x:v>
      </x:c>
      <x:c r="J31" s="2" t="n">
        <x:v>0</x:v>
      </x:c>
      <x:c r="K31" s="11" t="str">
        <x:v>—</x:v>
      </x:c>
      <x:c r="L31" s="11" t="str">
        <x:f>"營運參考"</x:f>
        <x:v>營運參考</x:v>
      </x:c>
    </x:row>
    <x:row r="32" ht="42" customHeight="1">
      <x:c r="A32" s="12" t="n">
        <x:v>46315</x:v>
      </x:c>
      <x:c r="B32" s="13" t="n">
        <x:v>0.4583333333333333</x:v>
      </x:c>
      <x:c r="C32" s="13" t="n">
        <x:v>0.4791666666666667</x:v>
      </x:c>
      <x:c r="D32" s="2" t="str">
        <x:v>營運參考</x:v>
      </x:c>
      <x:c r="E32" s="2" t="n">
        <x:v>0</x:v>
      </x:c>
      <x:c r="F32" s="2"/>
      <x:c r="G32" s="2" t="n">
        <x:f>IF(AND('班次明細'!L7&gt;0,'班次明細'!G7&lt;=B32,'班次明細'!H7&gt;=C32),1,0)+IF(AND('班次明細'!L14&gt;0,'班次明細'!G14&lt;=B32,'班次明細'!H14&gt;=C32),1,0)+IF(AND('班次明細'!L21&gt;0,'班次明細'!G21&lt;=B32,'班次明細'!H21&gt;=C32),1,0)+IF(AND('班次明細'!L28&gt;0,'班次明細'!G28&lt;=B32,'班次明細'!H28&gt;=C32),1,0)+IF(AND('班次明細'!L35&gt;0,'班次明細'!G35&lt;=B32,'班次明細'!H35&gt;=C32),1,0)+IF(AND('班次明細'!L42&gt;0,'班次明細'!G42&lt;=B32,'班次明細'!H42&gt;=C32),1,0)+IF(AND('班次明細'!L49&gt;0,'班次明細'!G49&lt;=B32,'班次明細'!H49&gt;=C32),1,0)+IF(AND('班次明細'!L56&gt;0,'班次明細'!G56&lt;=B32,'班次明細'!H56&gt;=C32),1,0)+IF(AND('班次明細'!L63&gt;0,'班次明細'!G63&lt;=B32,'班次明細'!H63&gt;=C32),1,0)+IF(AND('班次明細'!L70&gt;0,'班次明細'!G70&lt;=B32,'班次明細'!H70&gt;=C32),1,0)+IF(AND('班次明細'!L77&gt;0,'班次明細'!G77&lt;=B32,'班次明細'!H77&gt;=C32),1,0)</x:f>
        <x:v>2</x:v>
      </x:c>
      <x:c r="H32" s="2" t="n">
        <x:f>MAX(0,E32-G32)</x:f>
        <x:v>0</x:v>
      </x:c>
      <x:c r="I32" s="2" t="n">
        <x:f>IF(F32="",0,MAX(0,G32-F32))</x:f>
        <x:v>0</x:v>
      </x:c>
      <x:c r="J32" s="2" t="n">
        <x:v>0</x:v>
      </x:c>
      <x:c r="K32" s="11" t="str">
        <x:v>—</x:v>
      </x:c>
      <x:c r="L32" s="11" t="str">
        <x:f>"營運參考"</x:f>
        <x:v>營運參考</x:v>
      </x:c>
    </x:row>
    <x:row r="33" ht="42" customHeight="1">
      <x:c r="A33" s="12" t="n">
        <x:v>46315</x:v>
      </x:c>
      <x:c r="B33" s="13" t="n">
        <x:v>0.4791666666666667</x:v>
      </x:c>
      <x:c r="C33" s="13" t="n">
        <x:v>0.5</x:v>
      </x:c>
      <x:c r="D33" s="2" t="str">
        <x:v>營運參考</x:v>
      </x:c>
      <x:c r="E33" s="2" t="n">
        <x:v>0</x:v>
      </x:c>
      <x:c r="F33" s="2"/>
      <x:c r="G33" s="2" t="n">
        <x:f>IF(AND('班次明細'!L7&gt;0,'班次明細'!G7&lt;=B33,'班次明細'!H7&gt;=C33),1,0)+IF(AND('班次明細'!L14&gt;0,'班次明細'!G14&lt;=B33,'班次明細'!H14&gt;=C33),1,0)+IF(AND('班次明細'!L21&gt;0,'班次明細'!G21&lt;=B33,'班次明細'!H21&gt;=C33),1,0)+IF(AND('班次明細'!L28&gt;0,'班次明細'!G28&lt;=B33,'班次明細'!H28&gt;=C33),1,0)+IF(AND('班次明細'!L35&gt;0,'班次明細'!G35&lt;=B33,'班次明細'!H35&gt;=C33),1,0)+IF(AND('班次明細'!L42&gt;0,'班次明細'!G42&lt;=B33,'班次明細'!H42&gt;=C33),1,0)+IF(AND('班次明細'!L49&gt;0,'班次明細'!G49&lt;=B33,'班次明細'!H49&gt;=C33),1,0)+IF(AND('班次明細'!L56&gt;0,'班次明細'!G56&lt;=B33,'班次明細'!H56&gt;=C33),1,0)+IF(AND('班次明細'!L63&gt;0,'班次明細'!G63&lt;=B33,'班次明細'!H63&gt;=C33),1,0)+IF(AND('班次明細'!L70&gt;0,'班次明細'!G70&lt;=B33,'班次明細'!H70&gt;=C33),1,0)+IF(AND('班次明細'!L77&gt;0,'班次明細'!G77&lt;=B33,'班次明細'!H77&gt;=C33),1,0)</x:f>
        <x:v>4</x:v>
      </x:c>
      <x:c r="H33" s="2" t="n">
        <x:f>MAX(0,E33-G33)</x:f>
        <x:v>0</x:v>
      </x:c>
      <x:c r="I33" s="2" t="n">
        <x:f>IF(F33="",0,MAX(0,G33-F33))</x:f>
        <x:v>0</x:v>
      </x:c>
      <x:c r="J33" s="2" t="n">
        <x:v>0</x:v>
      </x:c>
      <x:c r="K33" s="11" t="str">
        <x:v>—</x:v>
      </x:c>
      <x:c r="L33" s="11" t="str">
        <x:f>"營運參考"</x:f>
        <x:v>營運參考</x:v>
      </x:c>
    </x:row>
    <x:row r="34" ht="42" customHeight="1">
      <x:c r="A34" s="12" t="n">
        <x:v>46315</x:v>
      </x:c>
      <x:c r="B34" s="13" t="n">
        <x:v>0.5</x:v>
      </x:c>
      <x:c r="C34" s="13" t="n">
        <x:v>0.5208333333333334</x:v>
      </x:c>
      <x:c r="D34" s="2" t="str">
        <x:v>午餐主崗</x:v>
      </x:c>
      <x:c r="E34" s="2" t="n">
        <x:v>4</x:v>
      </x:c>
      <x:c r="F34" s="2" t="n">
        <x:v>4</x:v>
      </x:c>
      <x:c r="G34" s="2" t="n">
        <x:f>IF(AND('班次明細'!L7&gt;0,'班次明細'!G7&lt;=B34,'班次明細'!H7&gt;=C34),1,0)+IF(AND('班次明細'!L14&gt;0,'班次明細'!G14&lt;=B34,'班次明細'!H14&gt;=C34),1,0)+IF(AND('班次明細'!L21&gt;0,'班次明細'!G21&lt;=B34,'班次明細'!H21&gt;=C34),1,0)+IF(AND('班次明細'!L28&gt;0,'班次明細'!G28&lt;=B34,'班次明細'!H28&gt;=C34),1,0)+IF(AND('班次明細'!L35&gt;0,'班次明細'!G35&lt;=B34,'班次明細'!H35&gt;=C34),1,0)+IF(AND('班次明細'!L42&gt;0,'班次明細'!G42&lt;=B34,'班次明細'!H42&gt;=C34),1,0)+IF(AND('班次明細'!L49&gt;0,'班次明細'!G49&lt;=B34,'班次明細'!H49&gt;=C34),1,0)+IF(AND('班次明細'!L56&gt;0,'班次明細'!G56&lt;=B34,'班次明細'!H56&gt;=C34),1,0)+IF(AND('班次明細'!L63&gt;0,'班次明細'!G63&lt;=B34,'班次明細'!H63&gt;=C34),1,0)+IF(AND('班次明細'!L70&gt;0,'班次明細'!G70&lt;=B34,'班次明細'!H70&gt;=C34),1,0)+IF(AND('班次明細'!L77&gt;0,'班次明細'!G77&lt;=B34,'班次明細'!H77&gt;=C34),1,0)</x:f>
        <x:v>4</x:v>
      </x:c>
      <x:c r="H34" s="2" t="n">
        <x:f>MAX(0,E34-G34)</x:f>
        <x:v>0</x:v>
      </x:c>
      <x:c r="I34" s="2" t="n">
        <x:f>IF(F34="",0,MAX(0,G34-F34))</x:f>
        <x:v>0</x:v>
      </x:c>
      <x:c r="J34" s="2" t="n">
        <x:f>IF((IF(LEFT('班次明細'!O7,2)="外場",IF(AND('班次明細'!L7&gt;0,'班次明細'!G7&lt;=B34,'班次明細'!H7&gt;=C34),1,0),0)+IF(LEFT('班次明細'!O14,2)="外場",IF(AND('班次明細'!L14&gt;0,'班次明細'!G14&lt;=B34,'班次明細'!H14&gt;=C34),1,0),0)+IF(LEFT('班次明細'!O21,2)="外場",IF(AND('班次明細'!L21&gt;0,'班次明細'!G21&lt;=B34,'班次明細'!H21&gt;=C34),1,0),0)+IF(LEFT('班次明細'!O28,2)="外場",IF(AND('班次明細'!L28&gt;0,'班次明細'!G28&lt;=B34,'班次明細'!H28&gt;=C34),1,0),0)+IF(LEFT('班次明細'!O35,2)="外場",IF(AND('班次明細'!L35&gt;0,'班次明細'!G35&lt;=B34,'班次明細'!H35&gt;=C34),1,0),0)+IF(LEFT('班次明細'!O42,2)="外場",IF(AND('班次明細'!L42&gt;0,'班次明細'!G42&lt;=B34,'班次明細'!H42&gt;=C34),1,0),0)+IF(LEFT('班次明細'!O49,2)="外場",IF(AND('班次明細'!L49&gt;0,'班次明細'!G49&lt;=B34,'班次明細'!H49&gt;=C34),1,0),0)+IF(LEFT('班次明細'!O56,2)="外場",IF(AND('班次明細'!L56&gt;0,'班次明細'!G56&lt;=B34,'班次明細'!H56&gt;=C34),1,0),0)+IF(LEFT('班次明細'!O63,2)="外場",IF(AND('班次明細'!L63&gt;0,'班次明細'!G63&lt;=B34,'班次明細'!H63&gt;=C34),1,0),0)+IF(LEFT('班次明細'!O70,2)="外場",IF(AND('班次明細'!L70&gt;0,'班次明細'!G70&lt;=B34,'班次明細'!H70&gt;=C34),1,0),0)+IF(LEFT('班次明細'!O77,2)="外場",IF(AND('班次明細'!L77&gt;0,'班次明細'!G77&lt;=B34,'班次明細'!H77&gt;=C34),1,0),0))&gt;0,0,1)+IF((IF(LEFT('班次明細'!O7,2)="吧台",IF(AND('班次明細'!L7&gt;0,'班次明細'!G7&lt;=B34,'班次明細'!H7&gt;=C34),1,0),0)+IF(LEFT('班次明細'!O14,2)="吧台",IF(AND('班次明細'!L14&gt;0,'班次明細'!G14&lt;=B34,'班次明細'!H14&gt;=C34),1,0),0)+IF(LEFT('班次明細'!O21,2)="吧台",IF(AND('班次明細'!L21&gt;0,'班次明細'!G21&lt;=B34,'班次明細'!H21&gt;=C34),1,0),0)+IF(LEFT('班次明細'!O28,2)="吧台",IF(AND('班次明細'!L28&gt;0,'班次明細'!G28&lt;=B34,'班次明細'!H28&gt;=C34),1,0),0)+IF(LEFT('班次明細'!O35,2)="吧台",IF(AND('班次明細'!L35&gt;0,'班次明細'!G35&lt;=B34,'班次明細'!H35&gt;=C34),1,0),0)+IF(LEFT('班次明細'!O42,2)="吧台",IF(AND('班次明細'!L42&gt;0,'班次明細'!G42&lt;=B34,'班次明細'!H42&gt;=C34),1,0),0)+IF(LEFT('班次明細'!O49,2)="吧台",IF(AND('班次明細'!L49&gt;0,'班次明細'!G49&lt;=B34,'班次明細'!H49&gt;=C34),1,0),0)+IF(LEFT('班次明細'!O56,2)="吧台",IF(AND('班次明細'!L56&gt;0,'班次明細'!G56&lt;=B34,'班次明細'!H56&gt;=C34),1,0),0)+IF(LEFT('班次明細'!O63,2)="吧台",IF(AND('班次明細'!L63&gt;0,'班次明細'!G63&lt;=B34,'班次明細'!H63&gt;=C34),1,0),0)+IF(LEFT('班次明細'!O70,2)="吧台",IF(AND('班次明細'!L70&gt;0,'班次明細'!G70&lt;=B34,'班次明細'!H70&gt;=C34),1,0),0)+IF(LEFT('班次明細'!O77,2)="吧台",IF(AND('班次明細'!L77&gt;0,'班次明細'!G77&lt;=B34,'班次明細'!H77&gt;=C34),1,0),0))&gt;0,0,1)+MAX(0,2-(IF(LEFT('班次明細'!O7,2)="司爐",IF(AND('班次明細'!L7&gt;0,'班次明細'!G7&lt;=B34,'班次明細'!H7&gt;=C34),1,0),0)+IF(LEFT('班次明細'!O14,2)="司爐",IF(AND('班次明細'!L14&gt;0,'班次明細'!G14&lt;=B34,'班次明細'!H14&gt;=C34),1,0),0)+IF(LEFT('班次明細'!O21,2)="司爐",IF(AND('班次明細'!L21&gt;0,'班次明細'!G21&lt;=B34,'班次明細'!H21&gt;=C34),1,0),0)+IF(LEFT('班次明細'!O28,2)="司爐",IF(AND('班次明細'!L28&gt;0,'班次明細'!G28&lt;=B34,'班次明細'!H28&gt;=C34),1,0),0)+IF(LEFT('班次明細'!O35,2)="司爐",IF(AND('班次明細'!L35&gt;0,'班次明細'!G35&lt;=B34,'班次明細'!H35&gt;=C34),1,0),0)+IF(LEFT('班次明細'!O42,2)="司爐",IF(AND('班次明細'!L42&gt;0,'班次明細'!G42&lt;=B34,'班次明細'!H42&gt;=C34),1,0),0)+IF(LEFT('班次明細'!O49,2)="司爐",IF(AND('班次明細'!L49&gt;0,'班次明細'!G49&lt;=B34,'班次明細'!H49&gt;=C34),1,0),0)+IF(LEFT('班次明細'!O56,2)="司爐",IF(AND('班次明細'!L56&gt;0,'班次明細'!G56&lt;=B34,'班次明細'!H56&gt;=C34),1,0),0)+IF(LEFT('班次明細'!O63,2)="司爐",IF(AND('班次明細'!L63&gt;0,'班次明細'!G63&lt;=B34,'班次明細'!H63&gt;=C34),1,0),0)+IF(LEFT('班次明細'!O70,2)="司爐",IF(AND('班次明細'!L70&gt;0,'班次明細'!G70&lt;=B34,'班次明細'!H70&gt;=C34),1,0),0)+IF(LEFT('班次明細'!O77,2)="司爐",IF(AND('班次明細'!L77&gt;0,'班次明細'!G77&lt;=B34,'班次明細'!H77&gt;=C34),1,0),0)+IF(LEFT('班次明細'!O7,2)="料區",IF(AND('班次明細'!L7&gt;0,'班次明細'!G7&lt;=B34,'班次明細'!H7&gt;=C34),1,0),0)+IF(LEFT('班次明細'!O14,2)="料區",IF(AND('班次明細'!L14&gt;0,'班次明細'!G14&lt;=B34,'班次明細'!H14&gt;=C34),1,0),0)+IF(LEFT('班次明細'!O21,2)="料區",IF(AND('班次明細'!L21&gt;0,'班次明細'!G21&lt;=B34,'班次明細'!H21&gt;=C34),1,0),0)+IF(LEFT('班次明細'!O28,2)="料區",IF(AND('班次明細'!L28&gt;0,'班次明細'!G28&lt;=B34,'班次明細'!H28&gt;=C34),1,0),0)+IF(LEFT('班次明細'!O35,2)="料區",IF(AND('班次明細'!L35&gt;0,'班次明細'!G35&lt;=B34,'班次明細'!H35&gt;=C34),1,0),0)+IF(LEFT('班次明細'!O42,2)="料區",IF(AND('班次明細'!L42&gt;0,'班次明細'!G42&lt;=B34,'班次明細'!H42&gt;=C34),1,0),0)+IF(LEFT('班次明細'!O49,2)="料區",IF(AND('班次明細'!L49&gt;0,'班次明細'!G49&lt;=B34,'班次明細'!H49&gt;=C34),1,0),0)+IF(LEFT('班次明細'!O56,2)="料區",IF(AND('班次明細'!L56&gt;0,'班次明細'!G56&lt;=B34,'班次明細'!H56&gt;=C34),1,0),0)+IF(LEFT('班次明細'!O63,2)="料區",IF(AND('班次明細'!L63&gt;0,'班次明細'!G63&lt;=B34,'班次明細'!H63&gt;=C34),1,0),0)+IF(LEFT('班次明細'!O70,2)="料區",IF(AND('班次明細'!L70&gt;0,'班次明細'!G70&lt;=B34,'班次明細'!H70&gt;=C34),1,0),0)+IF(LEFT('班次明細'!O77,2)="料區",IF(AND('班次明細'!L77&gt;0,'班次明細'!G77&lt;=B34,'班次明細'!H77&gt;=C34),1,0),0)+IF(LEFT('班次明細'!O7,2)="炸區",IF(AND('班次明細'!L7&gt;0,'班次明細'!G7&lt;=B34,'班次明細'!H7&gt;=C34),1,0),0)+IF(LEFT('班次明細'!O14,2)="炸區",IF(AND('班次明細'!L14&gt;0,'班次明細'!G14&lt;=B34,'班次明細'!H14&gt;=C34),1,0),0)+IF(LEFT('班次明細'!O21,2)="炸區",IF(AND('班次明細'!L21&gt;0,'班次明細'!G21&lt;=B34,'班次明細'!H21&gt;=C34),1,0),0)+IF(LEFT('班次明細'!O28,2)="炸區",IF(AND('班次明細'!L28&gt;0,'班次明細'!G28&lt;=B34,'班次明細'!H28&gt;=C34),1,0),0)+IF(LEFT('班次明細'!O35,2)="炸區",IF(AND('班次明細'!L35&gt;0,'班次明細'!G35&lt;=B34,'班次明細'!H35&gt;=C34),1,0),0)+IF(LEFT('班次明細'!O42,2)="炸區",IF(AND('班次明細'!L42&gt;0,'班次明細'!G42&lt;=B34,'班次明細'!H42&gt;=C34),1,0),0)+IF(LEFT('班次明細'!O49,2)="炸區",IF(AND('班次明細'!L49&gt;0,'班次明細'!G49&lt;=B34,'班次明細'!H49&gt;=C34),1,0),0)+IF(LEFT('班次明細'!O56,2)="炸區",IF(AND('班次明細'!L56&gt;0,'班次明細'!G56&lt;=B34,'班次明細'!H56&gt;=C34),1,0),0)+IF(LEFT('班次明細'!O63,2)="炸區",IF(AND('班次明細'!L63&gt;0,'班次明細'!G63&lt;=B34,'班次明細'!H63&gt;=C34),1,0),0)+IF(LEFT('班次明細'!O70,2)="炸區",IF(AND('班次明細'!L70&gt;0,'班次明細'!G70&lt;=B34,'班次明細'!H70&gt;=C34),1,0),0)+IF(LEFT('班次明細'!O77,2)="炸區",IF(AND('班次明細'!L77&gt;0,'班次明細'!G77&lt;=B34,'班次明細'!H77&gt;=C34),1,0),0)))</x:f>
        <x:v>0</x:v>
      </x:c>
      <x:c r="K34" s="11" t="str">
        <x:v>P02:炸區；P03:吧台；P09:外場；P11:司爐</x:v>
      </x:c>
      <x:c r="L34" s="11" t="str">
        <x:f>IF(OR(H34&gt;0,I34&gt;0,J34&gt;0),"缺口／超額待處理","主崗齊；休息待現場")</x:f>
        <x:v>主崗齊；休息待現場</x:v>
      </x:c>
    </x:row>
    <x:row r="35" ht="42" customHeight="1">
      <x:c r="A35" s="12" t="n">
        <x:v>46315</x:v>
      </x:c>
      <x:c r="B35" s="13" t="n">
        <x:v>0.5208333333333334</x:v>
      </x:c>
      <x:c r="C35" s="13" t="n">
        <x:v>0.5416666666666666</x:v>
      </x:c>
      <x:c r="D35" s="2" t="str">
        <x:v>午餐主崗</x:v>
      </x:c>
      <x:c r="E35" s="2" t="n">
        <x:v>4</x:v>
      </x:c>
      <x:c r="F35" s="2" t="n">
        <x:v>4</x:v>
      </x:c>
      <x:c r="G35" s="2" t="n">
        <x:f>IF(AND('班次明細'!L7&gt;0,'班次明細'!G7&lt;=B35,'班次明細'!H7&gt;=C35),1,0)+IF(AND('班次明細'!L14&gt;0,'班次明細'!G14&lt;=B35,'班次明細'!H14&gt;=C35),1,0)+IF(AND('班次明細'!L21&gt;0,'班次明細'!G21&lt;=B35,'班次明細'!H21&gt;=C35),1,0)+IF(AND('班次明細'!L28&gt;0,'班次明細'!G28&lt;=B35,'班次明細'!H28&gt;=C35),1,0)+IF(AND('班次明細'!L35&gt;0,'班次明細'!G35&lt;=B35,'班次明細'!H35&gt;=C35),1,0)+IF(AND('班次明細'!L42&gt;0,'班次明細'!G42&lt;=B35,'班次明細'!H42&gt;=C35),1,0)+IF(AND('班次明細'!L49&gt;0,'班次明細'!G49&lt;=B35,'班次明細'!H49&gt;=C35),1,0)+IF(AND('班次明細'!L56&gt;0,'班次明細'!G56&lt;=B35,'班次明細'!H56&gt;=C35),1,0)+IF(AND('班次明細'!L63&gt;0,'班次明細'!G63&lt;=B35,'班次明細'!H63&gt;=C35),1,0)+IF(AND('班次明細'!L70&gt;0,'班次明細'!G70&lt;=B35,'班次明細'!H70&gt;=C35),1,0)+IF(AND('班次明細'!L77&gt;0,'班次明細'!G77&lt;=B35,'班次明細'!H77&gt;=C35),1,0)</x:f>
        <x:v>4</x:v>
      </x:c>
      <x:c r="H35" s="2" t="n">
        <x:f>MAX(0,E35-G35)</x:f>
        <x:v>0</x:v>
      </x:c>
      <x:c r="I35" s="2" t="n">
        <x:f>IF(F35="",0,MAX(0,G35-F35))</x:f>
        <x:v>0</x:v>
      </x:c>
      <x:c r="J35" s="2" t="n">
        <x:f>IF((IF(LEFT('班次明細'!O7,2)="外場",IF(AND('班次明細'!L7&gt;0,'班次明細'!G7&lt;=B35,'班次明細'!H7&gt;=C35),1,0),0)+IF(LEFT('班次明細'!O14,2)="外場",IF(AND('班次明細'!L14&gt;0,'班次明細'!G14&lt;=B35,'班次明細'!H14&gt;=C35),1,0),0)+IF(LEFT('班次明細'!O21,2)="外場",IF(AND('班次明細'!L21&gt;0,'班次明細'!G21&lt;=B35,'班次明細'!H21&gt;=C35),1,0),0)+IF(LEFT('班次明細'!O28,2)="外場",IF(AND('班次明細'!L28&gt;0,'班次明細'!G28&lt;=B35,'班次明細'!H28&gt;=C35),1,0),0)+IF(LEFT('班次明細'!O35,2)="外場",IF(AND('班次明細'!L35&gt;0,'班次明細'!G35&lt;=B35,'班次明細'!H35&gt;=C35),1,0),0)+IF(LEFT('班次明細'!O42,2)="外場",IF(AND('班次明細'!L42&gt;0,'班次明細'!G42&lt;=B35,'班次明細'!H42&gt;=C35),1,0),0)+IF(LEFT('班次明細'!O49,2)="外場",IF(AND('班次明細'!L49&gt;0,'班次明細'!G49&lt;=B35,'班次明細'!H49&gt;=C35),1,0),0)+IF(LEFT('班次明細'!O56,2)="外場",IF(AND('班次明細'!L56&gt;0,'班次明細'!G56&lt;=B35,'班次明細'!H56&gt;=C35),1,0),0)+IF(LEFT('班次明細'!O63,2)="外場",IF(AND('班次明細'!L63&gt;0,'班次明細'!G63&lt;=B35,'班次明細'!H63&gt;=C35),1,0),0)+IF(LEFT('班次明細'!O70,2)="外場",IF(AND('班次明細'!L70&gt;0,'班次明細'!G70&lt;=B35,'班次明細'!H70&gt;=C35),1,0),0)+IF(LEFT('班次明細'!O77,2)="外場",IF(AND('班次明細'!L77&gt;0,'班次明細'!G77&lt;=B35,'班次明細'!H77&gt;=C35),1,0),0))&gt;0,0,1)+IF((IF(LEFT('班次明細'!O7,2)="吧台",IF(AND('班次明細'!L7&gt;0,'班次明細'!G7&lt;=B35,'班次明細'!H7&gt;=C35),1,0),0)+IF(LEFT('班次明細'!O14,2)="吧台",IF(AND('班次明細'!L14&gt;0,'班次明細'!G14&lt;=B35,'班次明細'!H14&gt;=C35),1,0),0)+IF(LEFT('班次明細'!O21,2)="吧台",IF(AND('班次明細'!L21&gt;0,'班次明細'!G21&lt;=B35,'班次明細'!H21&gt;=C35),1,0),0)+IF(LEFT('班次明細'!O28,2)="吧台",IF(AND('班次明細'!L28&gt;0,'班次明細'!G28&lt;=B35,'班次明細'!H28&gt;=C35),1,0),0)+IF(LEFT('班次明細'!O35,2)="吧台",IF(AND('班次明細'!L35&gt;0,'班次明細'!G35&lt;=B35,'班次明細'!H35&gt;=C35),1,0),0)+IF(LEFT('班次明細'!O42,2)="吧台",IF(AND('班次明細'!L42&gt;0,'班次明細'!G42&lt;=B35,'班次明細'!H42&gt;=C35),1,0),0)+IF(LEFT('班次明細'!O49,2)="吧台",IF(AND('班次明細'!L49&gt;0,'班次明細'!G49&lt;=B35,'班次明細'!H49&gt;=C35),1,0),0)+IF(LEFT('班次明細'!O56,2)="吧台",IF(AND('班次明細'!L56&gt;0,'班次明細'!G56&lt;=B35,'班次明細'!H56&gt;=C35),1,0),0)+IF(LEFT('班次明細'!O63,2)="吧台",IF(AND('班次明細'!L63&gt;0,'班次明細'!G63&lt;=B35,'班次明細'!H63&gt;=C35),1,0),0)+IF(LEFT('班次明細'!O70,2)="吧台",IF(AND('班次明細'!L70&gt;0,'班次明細'!G70&lt;=B35,'班次明細'!H70&gt;=C35),1,0),0)+IF(LEFT('班次明細'!O77,2)="吧台",IF(AND('班次明細'!L77&gt;0,'班次明細'!G77&lt;=B35,'班次明細'!H77&gt;=C35),1,0),0))&gt;0,0,1)+MAX(0,2-(IF(LEFT('班次明細'!O7,2)="司爐",IF(AND('班次明細'!L7&gt;0,'班次明細'!G7&lt;=B35,'班次明細'!H7&gt;=C35),1,0),0)+IF(LEFT('班次明細'!O14,2)="司爐",IF(AND('班次明細'!L14&gt;0,'班次明細'!G14&lt;=B35,'班次明細'!H14&gt;=C35),1,0),0)+IF(LEFT('班次明細'!O21,2)="司爐",IF(AND('班次明細'!L21&gt;0,'班次明細'!G21&lt;=B35,'班次明細'!H21&gt;=C35),1,0),0)+IF(LEFT('班次明細'!O28,2)="司爐",IF(AND('班次明細'!L28&gt;0,'班次明細'!G28&lt;=B35,'班次明細'!H28&gt;=C35),1,0),0)+IF(LEFT('班次明細'!O35,2)="司爐",IF(AND('班次明細'!L35&gt;0,'班次明細'!G35&lt;=B35,'班次明細'!H35&gt;=C35),1,0),0)+IF(LEFT('班次明細'!O42,2)="司爐",IF(AND('班次明細'!L42&gt;0,'班次明細'!G42&lt;=B35,'班次明細'!H42&gt;=C35),1,0),0)+IF(LEFT('班次明細'!O49,2)="司爐",IF(AND('班次明細'!L49&gt;0,'班次明細'!G49&lt;=B35,'班次明細'!H49&gt;=C35),1,0),0)+IF(LEFT('班次明細'!O56,2)="司爐",IF(AND('班次明細'!L56&gt;0,'班次明細'!G56&lt;=B35,'班次明細'!H56&gt;=C35),1,0),0)+IF(LEFT('班次明細'!O63,2)="司爐",IF(AND('班次明細'!L63&gt;0,'班次明細'!G63&lt;=B35,'班次明細'!H63&gt;=C35),1,0),0)+IF(LEFT('班次明細'!O70,2)="司爐",IF(AND('班次明細'!L70&gt;0,'班次明細'!G70&lt;=B35,'班次明細'!H70&gt;=C35),1,0),0)+IF(LEFT('班次明細'!O77,2)="司爐",IF(AND('班次明細'!L77&gt;0,'班次明細'!G77&lt;=B35,'班次明細'!H77&gt;=C35),1,0),0)+IF(LEFT('班次明細'!O7,2)="料區",IF(AND('班次明細'!L7&gt;0,'班次明細'!G7&lt;=B35,'班次明細'!H7&gt;=C35),1,0),0)+IF(LEFT('班次明細'!O14,2)="料區",IF(AND('班次明細'!L14&gt;0,'班次明細'!G14&lt;=B35,'班次明細'!H14&gt;=C35),1,0),0)+IF(LEFT('班次明細'!O21,2)="料區",IF(AND('班次明細'!L21&gt;0,'班次明細'!G21&lt;=B35,'班次明細'!H21&gt;=C35),1,0),0)+IF(LEFT('班次明細'!O28,2)="料區",IF(AND('班次明細'!L28&gt;0,'班次明細'!G28&lt;=B35,'班次明細'!H28&gt;=C35),1,0),0)+IF(LEFT('班次明細'!O35,2)="料區",IF(AND('班次明細'!L35&gt;0,'班次明細'!G35&lt;=B35,'班次明細'!H35&gt;=C35),1,0),0)+IF(LEFT('班次明細'!O42,2)="料區",IF(AND('班次明細'!L42&gt;0,'班次明細'!G42&lt;=B35,'班次明細'!H42&gt;=C35),1,0),0)+IF(LEFT('班次明細'!O49,2)="料區",IF(AND('班次明細'!L49&gt;0,'班次明細'!G49&lt;=B35,'班次明細'!H49&gt;=C35),1,0),0)+IF(LEFT('班次明細'!O56,2)="料區",IF(AND('班次明細'!L56&gt;0,'班次明細'!G56&lt;=B35,'班次明細'!H56&gt;=C35),1,0),0)+IF(LEFT('班次明細'!O63,2)="料區",IF(AND('班次明細'!L63&gt;0,'班次明細'!G63&lt;=B35,'班次明細'!H63&gt;=C35),1,0),0)+IF(LEFT('班次明細'!O70,2)="料區",IF(AND('班次明細'!L70&gt;0,'班次明細'!G70&lt;=B35,'班次明細'!H70&gt;=C35),1,0),0)+IF(LEFT('班次明細'!O77,2)="料區",IF(AND('班次明細'!L77&gt;0,'班次明細'!G77&lt;=B35,'班次明細'!H77&gt;=C35),1,0),0)+IF(LEFT('班次明細'!O7,2)="炸區",IF(AND('班次明細'!L7&gt;0,'班次明細'!G7&lt;=B35,'班次明細'!H7&gt;=C35),1,0),0)+IF(LEFT('班次明細'!O14,2)="炸區",IF(AND('班次明細'!L14&gt;0,'班次明細'!G14&lt;=B35,'班次明細'!H14&gt;=C35),1,0),0)+IF(LEFT('班次明細'!O21,2)="炸區",IF(AND('班次明細'!L21&gt;0,'班次明細'!G21&lt;=B35,'班次明細'!H21&gt;=C35),1,0),0)+IF(LEFT('班次明細'!O28,2)="炸區",IF(AND('班次明細'!L28&gt;0,'班次明細'!G28&lt;=B35,'班次明細'!H28&gt;=C35),1,0),0)+IF(LEFT('班次明細'!O35,2)="炸區",IF(AND('班次明細'!L35&gt;0,'班次明細'!G35&lt;=B35,'班次明細'!H35&gt;=C35),1,0),0)+IF(LEFT('班次明細'!O42,2)="炸區",IF(AND('班次明細'!L42&gt;0,'班次明細'!G42&lt;=B35,'班次明細'!H42&gt;=C35),1,0),0)+IF(LEFT('班次明細'!O49,2)="炸區",IF(AND('班次明細'!L49&gt;0,'班次明細'!G49&lt;=B35,'班次明細'!H49&gt;=C35),1,0),0)+IF(LEFT('班次明細'!O56,2)="炸區",IF(AND('班次明細'!L56&gt;0,'班次明細'!G56&lt;=B35,'班次明細'!H56&gt;=C35),1,0),0)+IF(LEFT('班次明細'!O63,2)="炸區",IF(AND('班次明細'!L63&gt;0,'班次明細'!G63&lt;=B35,'班次明細'!H63&gt;=C35),1,0),0)+IF(LEFT('班次明細'!O70,2)="炸區",IF(AND('班次明細'!L70&gt;0,'班次明細'!G70&lt;=B35,'班次明細'!H70&gt;=C35),1,0),0)+IF(LEFT('班次明細'!O77,2)="炸區",IF(AND('班次明細'!L77&gt;0,'班次明細'!G77&lt;=B35,'班次明細'!H77&gt;=C35),1,0),0)))</x:f>
        <x:v>0</x:v>
      </x:c>
      <x:c r="K35" s="11" t="str">
        <x:v>P02:炸區；P03:吧台；P09:外場；P11:司爐</x:v>
      </x:c>
      <x:c r="L35" s="11" t="str">
        <x:f>IF(OR(H35&gt;0,I35&gt;0,J35&gt;0),"缺口／超額待處理","主崗齊；休息待現場")</x:f>
        <x:v>主崗齊；休息待現場</x:v>
      </x:c>
    </x:row>
    <x:row r="36" ht="42" customHeight="1">
      <x:c r="A36" s="12" t="n">
        <x:v>46315</x:v>
      </x:c>
      <x:c r="B36" s="13" t="n">
        <x:v>0.5416666666666666</x:v>
      </x:c>
      <x:c r="C36" s="13" t="n">
        <x:v>0.5625</x:v>
      </x:c>
      <x:c r="D36" s="2" t="str">
        <x:v>午餐主崗</x:v>
      </x:c>
      <x:c r="E36" s="2" t="n">
        <x:v>4</x:v>
      </x:c>
      <x:c r="F36" s="2" t="n">
        <x:v>4</x:v>
      </x:c>
      <x:c r="G36" s="2" t="n">
        <x:f>IF(AND('班次明細'!L7&gt;0,'班次明細'!G7&lt;=B36,'班次明細'!H7&gt;=C36),1,0)+IF(AND('班次明細'!L14&gt;0,'班次明細'!G14&lt;=B36,'班次明細'!H14&gt;=C36),1,0)+IF(AND('班次明細'!L21&gt;0,'班次明細'!G21&lt;=B36,'班次明細'!H21&gt;=C36),1,0)+IF(AND('班次明細'!L28&gt;0,'班次明細'!G28&lt;=B36,'班次明細'!H28&gt;=C36),1,0)+IF(AND('班次明細'!L35&gt;0,'班次明細'!G35&lt;=B36,'班次明細'!H35&gt;=C36),1,0)+IF(AND('班次明細'!L42&gt;0,'班次明細'!G42&lt;=B36,'班次明細'!H42&gt;=C36),1,0)+IF(AND('班次明細'!L49&gt;0,'班次明細'!G49&lt;=B36,'班次明細'!H49&gt;=C36),1,0)+IF(AND('班次明細'!L56&gt;0,'班次明細'!G56&lt;=B36,'班次明細'!H56&gt;=C36),1,0)+IF(AND('班次明細'!L63&gt;0,'班次明細'!G63&lt;=B36,'班次明細'!H63&gt;=C36),1,0)+IF(AND('班次明細'!L70&gt;0,'班次明細'!G70&lt;=B36,'班次明細'!H70&gt;=C36),1,0)+IF(AND('班次明細'!L77&gt;0,'班次明細'!G77&lt;=B36,'班次明細'!H77&gt;=C36),1,0)</x:f>
        <x:v>4</x:v>
      </x:c>
      <x:c r="H36" s="2" t="n">
        <x:f>MAX(0,E36-G36)</x:f>
        <x:v>0</x:v>
      </x:c>
      <x:c r="I36" s="2" t="n">
        <x:f>IF(F36="",0,MAX(0,G36-F36))</x:f>
        <x:v>0</x:v>
      </x:c>
      <x:c r="J36" s="2" t="n">
        <x:f>IF((IF(LEFT('班次明細'!O7,2)="外場",IF(AND('班次明細'!L7&gt;0,'班次明細'!G7&lt;=B36,'班次明細'!H7&gt;=C36),1,0),0)+IF(LEFT('班次明細'!O14,2)="外場",IF(AND('班次明細'!L14&gt;0,'班次明細'!G14&lt;=B36,'班次明細'!H14&gt;=C36),1,0),0)+IF(LEFT('班次明細'!O21,2)="外場",IF(AND('班次明細'!L21&gt;0,'班次明細'!G21&lt;=B36,'班次明細'!H21&gt;=C36),1,0),0)+IF(LEFT('班次明細'!O28,2)="外場",IF(AND('班次明細'!L28&gt;0,'班次明細'!G28&lt;=B36,'班次明細'!H28&gt;=C36),1,0),0)+IF(LEFT('班次明細'!O35,2)="外場",IF(AND('班次明細'!L35&gt;0,'班次明細'!G35&lt;=B36,'班次明細'!H35&gt;=C36),1,0),0)+IF(LEFT('班次明細'!O42,2)="外場",IF(AND('班次明細'!L42&gt;0,'班次明細'!G42&lt;=B36,'班次明細'!H42&gt;=C36),1,0),0)+IF(LEFT('班次明細'!O49,2)="外場",IF(AND('班次明細'!L49&gt;0,'班次明細'!G49&lt;=B36,'班次明細'!H49&gt;=C36),1,0),0)+IF(LEFT('班次明細'!O56,2)="外場",IF(AND('班次明細'!L56&gt;0,'班次明細'!G56&lt;=B36,'班次明細'!H56&gt;=C36),1,0),0)+IF(LEFT('班次明細'!O63,2)="外場",IF(AND('班次明細'!L63&gt;0,'班次明細'!G63&lt;=B36,'班次明細'!H63&gt;=C36),1,0),0)+IF(LEFT('班次明細'!O70,2)="外場",IF(AND('班次明細'!L70&gt;0,'班次明細'!G70&lt;=B36,'班次明細'!H70&gt;=C36),1,0),0)+IF(LEFT('班次明細'!O77,2)="外場",IF(AND('班次明細'!L77&gt;0,'班次明細'!G77&lt;=B36,'班次明細'!H77&gt;=C36),1,0),0))&gt;0,0,1)+IF((IF(LEFT('班次明細'!O7,2)="吧台",IF(AND('班次明細'!L7&gt;0,'班次明細'!G7&lt;=B36,'班次明細'!H7&gt;=C36),1,0),0)+IF(LEFT('班次明細'!O14,2)="吧台",IF(AND('班次明細'!L14&gt;0,'班次明細'!G14&lt;=B36,'班次明細'!H14&gt;=C36),1,0),0)+IF(LEFT('班次明細'!O21,2)="吧台",IF(AND('班次明細'!L21&gt;0,'班次明細'!G21&lt;=B36,'班次明細'!H21&gt;=C36),1,0),0)+IF(LEFT('班次明細'!O28,2)="吧台",IF(AND('班次明細'!L28&gt;0,'班次明細'!G28&lt;=B36,'班次明細'!H28&gt;=C36),1,0),0)+IF(LEFT('班次明細'!O35,2)="吧台",IF(AND('班次明細'!L35&gt;0,'班次明細'!G35&lt;=B36,'班次明細'!H35&gt;=C36),1,0),0)+IF(LEFT('班次明細'!O42,2)="吧台",IF(AND('班次明細'!L42&gt;0,'班次明細'!G42&lt;=B36,'班次明細'!H42&gt;=C36),1,0),0)+IF(LEFT('班次明細'!O49,2)="吧台",IF(AND('班次明細'!L49&gt;0,'班次明細'!G49&lt;=B36,'班次明細'!H49&gt;=C36),1,0),0)+IF(LEFT('班次明細'!O56,2)="吧台",IF(AND('班次明細'!L56&gt;0,'班次明細'!G56&lt;=B36,'班次明細'!H56&gt;=C36),1,0),0)+IF(LEFT('班次明細'!O63,2)="吧台",IF(AND('班次明細'!L63&gt;0,'班次明細'!G63&lt;=B36,'班次明細'!H63&gt;=C36),1,0),0)+IF(LEFT('班次明細'!O70,2)="吧台",IF(AND('班次明細'!L70&gt;0,'班次明細'!G70&lt;=B36,'班次明細'!H70&gt;=C36),1,0),0)+IF(LEFT('班次明細'!O77,2)="吧台",IF(AND('班次明細'!L77&gt;0,'班次明細'!G77&lt;=B36,'班次明細'!H77&gt;=C36),1,0),0))&gt;0,0,1)+MAX(0,2-(IF(LEFT('班次明細'!O7,2)="司爐",IF(AND('班次明細'!L7&gt;0,'班次明細'!G7&lt;=B36,'班次明細'!H7&gt;=C36),1,0),0)+IF(LEFT('班次明細'!O14,2)="司爐",IF(AND('班次明細'!L14&gt;0,'班次明細'!G14&lt;=B36,'班次明細'!H14&gt;=C36),1,0),0)+IF(LEFT('班次明細'!O21,2)="司爐",IF(AND('班次明細'!L21&gt;0,'班次明細'!G21&lt;=B36,'班次明細'!H21&gt;=C36),1,0),0)+IF(LEFT('班次明細'!O28,2)="司爐",IF(AND('班次明細'!L28&gt;0,'班次明細'!G28&lt;=B36,'班次明細'!H28&gt;=C36),1,0),0)+IF(LEFT('班次明細'!O35,2)="司爐",IF(AND('班次明細'!L35&gt;0,'班次明細'!G35&lt;=B36,'班次明細'!H35&gt;=C36),1,0),0)+IF(LEFT('班次明細'!O42,2)="司爐",IF(AND('班次明細'!L42&gt;0,'班次明細'!G42&lt;=B36,'班次明細'!H42&gt;=C36),1,0),0)+IF(LEFT('班次明細'!O49,2)="司爐",IF(AND('班次明細'!L49&gt;0,'班次明細'!G49&lt;=B36,'班次明細'!H49&gt;=C36),1,0),0)+IF(LEFT('班次明細'!O56,2)="司爐",IF(AND('班次明細'!L56&gt;0,'班次明細'!G56&lt;=B36,'班次明細'!H56&gt;=C36),1,0),0)+IF(LEFT('班次明細'!O63,2)="司爐",IF(AND('班次明細'!L63&gt;0,'班次明細'!G63&lt;=B36,'班次明細'!H63&gt;=C36),1,0),0)+IF(LEFT('班次明細'!O70,2)="司爐",IF(AND('班次明細'!L70&gt;0,'班次明細'!G70&lt;=B36,'班次明細'!H70&gt;=C36),1,0),0)+IF(LEFT('班次明細'!O77,2)="司爐",IF(AND('班次明細'!L77&gt;0,'班次明細'!G77&lt;=B36,'班次明細'!H77&gt;=C36),1,0),0)+IF(LEFT('班次明細'!O7,2)="料區",IF(AND('班次明細'!L7&gt;0,'班次明細'!G7&lt;=B36,'班次明細'!H7&gt;=C36),1,0),0)+IF(LEFT('班次明細'!O14,2)="料區",IF(AND('班次明細'!L14&gt;0,'班次明細'!G14&lt;=B36,'班次明細'!H14&gt;=C36),1,0),0)+IF(LEFT('班次明細'!O21,2)="料區",IF(AND('班次明細'!L21&gt;0,'班次明細'!G21&lt;=B36,'班次明細'!H21&gt;=C36),1,0),0)+IF(LEFT('班次明細'!O28,2)="料區",IF(AND('班次明細'!L28&gt;0,'班次明細'!G28&lt;=B36,'班次明細'!H28&gt;=C36),1,0),0)+IF(LEFT('班次明細'!O35,2)="料區",IF(AND('班次明細'!L35&gt;0,'班次明細'!G35&lt;=B36,'班次明細'!H35&gt;=C36),1,0),0)+IF(LEFT('班次明細'!O42,2)="料區",IF(AND('班次明細'!L42&gt;0,'班次明細'!G42&lt;=B36,'班次明細'!H42&gt;=C36),1,0),0)+IF(LEFT('班次明細'!O49,2)="料區",IF(AND('班次明細'!L49&gt;0,'班次明細'!G49&lt;=B36,'班次明細'!H49&gt;=C36),1,0),0)+IF(LEFT('班次明細'!O56,2)="料區",IF(AND('班次明細'!L56&gt;0,'班次明細'!G56&lt;=B36,'班次明細'!H56&gt;=C36),1,0),0)+IF(LEFT('班次明細'!O63,2)="料區",IF(AND('班次明細'!L63&gt;0,'班次明細'!G63&lt;=B36,'班次明細'!H63&gt;=C36),1,0),0)+IF(LEFT('班次明細'!O70,2)="料區",IF(AND('班次明細'!L70&gt;0,'班次明細'!G70&lt;=B36,'班次明細'!H70&gt;=C36),1,0),0)+IF(LEFT('班次明細'!O77,2)="料區",IF(AND('班次明細'!L77&gt;0,'班次明細'!G77&lt;=B36,'班次明細'!H77&gt;=C36),1,0),0)+IF(LEFT('班次明細'!O7,2)="炸區",IF(AND('班次明細'!L7&gt;0,'班次明細'!G7&lt;=B36,'班次明細'!H7&gt;=C36),1,0),0)+IF(LEFT('班次明細'!O14,2)="炸區",IF(AND('班次明細'!L14&gt;0,'班次明細'!G14&lt;=B36,'班次明細'!H14&gt;=C36),1,0),0)+IF(LEFT('班次明細'!O21,2)="炸區",IF(AND('班次明細'!L21&gt;0,'班次明細'!G21&lt;=B36,'班次明細'!H21&gt;=C36),1,0),0)+IF(LEFT('班次明細'!O28,2)="炸區",IF(AND('班次明細'!L28&gt;0,'班次明細'!G28&lt;=B36,'班次明細'!H28&gt;=C36),1,0),0)+IF(LEFT('班次明細'!O35,2)="炸區",IF(AND('班次明細'!L35&gt;0,'班次明細'!G35&lt;=B36,'班次明細'!H35&gt;=C36),1,0),0)+IF(LEFT('班次明細'!O42,2)="炸區",IF(AND('班次明細'!L42&gt;0,'班次明細'!G42&lt;=B36,'班次明細'!H42&gt;=C36),1,0),0)+IF(LEFT('班次明細'!O49,2)="炸區",IF(AND('班次明細'!L49&gt;0,'班次明細'!G49&lt;=B36,'班次明細'!H49&gt;=C36),1,0),0)+IF(LEFT('班次明細'!O56,2)="炸區",IF(AND('班次明細'!L56&gt;0,'班次明細'!G56&lt;=B36,'班次明細'!H56&gt;=C36),1,0),0)+IF(LEFT('班次明細'!O63,2)="炸區",IF(AND('班次明細'!L63&gt;0,'班次明細'!G63&lt;=B36,'班次明細'!H63&gt;=C36),1,0),0)+IF(LEFT('班次明細'!O70,2)="炸區",IF(AND('班次明細'!L70&gt;0,'班次明細'!G70&lt;=B36,'班次明細'!H70&gt;=C36),1,0),0)+IF(LEFT('班次明細'!O77,2)="炸區",IF(AND('班次明細'!L77&gt;0,'班次明細'!G77&lt;=B36,'班次明細'!H77&gt;=C36),1,0),0)))</x:f>
        <x:v>0</x:v>
      </x:c>
      <x:c r="K36" s="11" t="str">
        <x:v>P02:炸區；P03:吧台；P09:外場；P11:司爐</x:v>
      </x:c>
      <x:c r="L36" s="11" t="str">
        <x:f>IF(OR(H36&gt;0,I36&gt;0,J36&gt;0),"缺口／超額待處理","主崗齊；休息待現場")</x:f>
        <x:v>主崗齊；休息待現場</x:v>
      </x:c>
    </x:row>
    <x:row r="37" ht="42" customHeight="1">
      <x:c r="A37" s="12" t="n">
        <x:v>46315</x:v>
      </x:c>
      <x:c r="B37" s="13" t="n">
        <x:v>0.5625</x:v>
      </x:c>
      <x:c r="C37" s="13" t="n">
        <x:v>0.5833333333333334</x:v>
      </x:c>
      <x:c r="D37" s="2" t="str">
        <x:v>營運參考</x:v>
      </x:c>
      <x:c r="E37" s="2" t="n">
        <x:v>0</x:v>
      </x:c>
      <x:c r="F37" s="2"/>
      <x:c r="G37" s="2" t="n">
        <x:f>IF(AND('班次明細'!L7&gt;0,'班次明細'!G7&lt;=B37,'班次明細'!H7&gt;=C37),1,0)+IF(AND('班次明細'!L14&gt;0,'班次明細'!G14&lt;=B37,'班次明細'!H14&gt;=C37),1,0)+IF(AND('班次明細'!L21&gt;0,'班次明細'!G21&lt;=B37,'班次明細'!H21&gt;=C37),1,0)+IF(AND('班次明細'!L28&gt;0,'班次明細'!G28&lt;=B37,'班次明細'!H28&gt;=C37),1,0)+IF(AND('班次明細'!L35&gt;0,'班次明細'!G35&lt;=B37,'班次明細'!H35&gt;=C37),1,0)+IF(AND('班次明細'!L42&gt;0,'班次明細'!G42&lt;=B37,'班次明細'!H42&gt;=C37),1,0)+IF(AND('班次明細'!L49&gt;0,'班次明細'!G49&lt;=B37,'班次明細'!H49&gt;=C37),1,0)+IF(AND('班次明細'!L56&gt;0,'班次明細'!G56&lt;=B37,'班次明細'!H56&gt;=C37),1,0)+IF(AND('班次明細'!L63&gt;0,'班次明細'!G63&lt;=B37,'班次明細'!H63&gt;=C37),1,0)+IF(AND('班次明細'!L70&gt;0,'班次明細'!G70&lt;=B37,'班次明細'!H70&gt;=C37),1,0)+IF(AND('班次明細'!L77&gt;0,'班次明細'!G77&lt;=B37,'班次明細'!H77&gt;=C37),1,0)</x:f>
        <x:v>4</x:v>
      </x:c>
      <x:c r="H37" s="2" t="n">
        <x:f>MAX(0,E37-G37)</x:f>
        <x:v>0</x:v>
      </x:c>
      <x:c r="I37" s="2" t="n">
        <x:f>IF(F37="",0,MAX(0,G37-F37))</x:f>
        <x:v>0</x:v>
      </x:c>
      <x:c r="J37" s="2" t="n">
        <x:v>0</x:v>
      </x:c>
      <x:c r="K37" s="11" t="str">
        <x:v>—</x:v>
      </x:c>
      <x:c r="L37" s="11" t="str">
        <x:f>"營運參考"</x:f>
        <x:v>營運參考</x:v>
      </x:c>
    </x:row>
    <x:row r="38" ht="42" customHeight="1">
      <x:c r="A38" s="12" t="n">
        <x:v>46315</x:v>
      </x:c>
      <x:c r="B38" s="13" t="n">
        <x:v>0.5833333333333334</x:v>
      </x:c>
      <x:c r="C38" s="13" t="n">
        <x:v>0.6041666666666666</x:v>
      </x:c>
      <x:c r="D38" s="2" t="str">
        <x:v>營運參考</x:v>
      </x:c>
      <x:c r="E38" s="2" t="n">
        <x:v>0</x:v>
      </x:c>
      <x:c r="F38" s="2"/>
      <x:c r="G38" s="2" t="n">
        <x:f>IF(AND('班次明細'!L7&gt;0,'班次明細'!G7&lt;=B38,'班次明細'!H7&gt;=C38),1,0)+IF(AND('班次明細'!L14&gt;0,'班次明細'!G14&lt;=B38,'班次明細'!H14&gt;=C38),1,0)+IF(AND('班次明細'!L21&gt;0,'班次明細'!G21&lt;=B38,'班次明細'!H21&gt;=C38),1,0)+IF(AND('班次明細'!L28&gt;0,'班次明細'!G28&lt;=B38,'班次明細'!H28&gt;=C38),1,0)+IF(AND('班次明細'!L35&gt;0,'班次明細'!G35&lt;=B38,'班次明細'!H35&gt;=C38),1,0)+IF(AND('班次明細'!L42&gt;0,'班次明細'!G42&lt;=B38,'班次明細'!H42&gt;=C38),1,0)+IF(AND('班次明細'!L49&gt;0,'班次明細'!G49&lt;=B38,'班次明細'!H49&gt;=C38),1,0)+IF(AND('班次明細'!L56&gt;0,'班次明細'!G56&lt;=B38,'班次明細'!H56&gt;=C38),1,0)+IF(AND('班次明細'!L63&gt;0,'班次明細'!G63&lt;=B38,'班次明細'!H63&gt;=C38),1,0)+IF(AND('班次明細'!L70&gt;0,'班次明細'!G70&lt;=B38,'班次明細'!H70&gt;=C38),1,0)+IF(AND('班次明細'!L77&gt;0,'班次明細'!G77&lt;=B38,'班次明細'!H77&gt;=C38),1,0)</x:f>
        <x:v>4</x:v>
      </x:c>
      <x:c r="H38" s="2" t="n">
        <x:f>MAX(0,E38-G38)</x:f>
        <x:v>0</x:v>
      </x:c>
      <x:c r="I38" s="2" t="n">
        <x:f>IF(F38="",0,MAX(0,G38-F38))</x:f>
        <x:v>0</x:v>
      </x:c>
      <x:c r="J38" s="2" t="n">
        <x:v>0</x:v>
      </x:c>
      <x:c r="K38" s="11" t="str">
        <x:v>—</x:v>
      </x:c>
      <x:c r="L38" s="11" t="str">
        <x:f>"營運參考"</x:f>
        <x:v>營運參考</x:v>
      </x:c>
    </x:row>
    <x:row r="39" ht="42" customHeight="1">
      <x:c r="A39" s="12" t="n">
        <x:v>46315</x:v>
      </x:c>
      <x:c r="B39" s="13" t="n">
        <x:v>0.6041666666666666</x:v>
      </x:c>
      <x:c r="C39" s="13" t="n">
        <x:v>0.625</x:v>
      </x:c>
      <x:c r="D39" s="2" t="str">
        <x:v>營運參考</x:v>
      </x:c>
      <x:c r="E39" s="2" t="n">
        <x:v>0</x:v>
      </x:c>
      <x:c r="F39" s="2"/>
      <x:c r="G39" s="2" t="n">
        <x:f>IF(AND('班次明細'!L7&gt;0,'班次明細'!G7&lt;=B39,'班次明細'!H7&gt;=C39),1,0)+IF(AND('班次明細'!L14&gt;0,'班次明細'!G14&lt;=B39,'班次明細'!H14&gt;=C39),1,0)+IF(AND('班次明細'!L21&gt;0,'班次明細'!G21&lt;=B39,'班次明細'!H21&gt;=C39),1,0)+IF(AND('班次明細'!L28&gt;0,'班次明細'!G28&lt;=B39,'班次明細'!H28&gt;=C39),1,0)+IF(AND('班次明細'!L35&gt;0,'班次明細'!G35&lt;=B39,'班次明細'!H35&gt;=C39),1,0)+IF(AND('班次明細'!L42&gt;0,'班次明細'!G42&lt;=B39,'班次明細'!H42&gt;=C39),1,0)+IF(AND('班次明細'!L49&gt;0,'班次明細'!G49&lt;=B39,'班次明細'!H49&gt;=C39),1,0)+IF(AND('班次明細'!L56&gt;0,'班次明細'!G56&lt;=B39,'班次明細'!H56&gt;=C39),1,0)+IF(AND('班次明細'!L63&gt;0,'班次明細'!G63&lt;=B39,'班次明細'!H63&gt;=C39),1,0)+IF(AND('班次明細'!L70&gt;0,'班次明細'!G70&lt;=B39,'班次明細'!H70&gt;=C39),1,0)+IF(AND('班次明細'!L77&gt;0,'班次明細'!G77&lt;=B39,'班次明細'!H77&gt;=C39),1,0)</x:f>
        <x:v>4</x:v>
      </x:c>
      <x:c r="H39" s="2" t="n">
        <x:f>MAX(0,E39-G39)</x:f>
        <x:v>0</x:v>
      </x:c>
      <x:c r="I39" s="2" t="n">
        <x:f>IF(F39="",0,MAX(0,G39-F39))</x:f>
        <x:v>0</x:v>
      </x:c>
      <x:c r="J39" s="2" t="n">
        <x:v>0</x:v>
      </x:c>
      <x:c r="K39" s="11" t="str">
        <x:v>—</x:v>
      </x:c>
      <x:c r="L39" s="11" t="str">
        <x:f>"營運參考"</x:f>
        <x:v>營運參考</x:v>
      </x:c>
    </x:row>
    <x:row r="40" ht="42" customHeight="1">
      <x:c r="A40" s="12" t="n">
        <x:v>46315</x:v>
      </x:c>
      <x:c r="B40" s="13" t="n">
        <x:v>0.625</x:v>
      </x:c>
      <x:c r="C40" s="13" t="n">
        <x:v>0.6458333333333334</x:v>
      </x:c>
      <x:c r="D40" s="2" t="str">
        <x:v>營運參考</x:v>
      </x:c>
      <x:c r="E40" s="2" t="n">
        <x:v>0</x:v>
      </x:c>
      <x:c r="F40" s="2"/>
      <x:c r="G40" s="2" t="n">
        <x:f>IF(AND('班次明細'!L7&gt;0,'班次明細'!G7&lt;=B40,'班次明細'!H7&gt;=C40),1,0)+IF(AND('班次明細'!L14&gt;0,'班次明細'!G14&lt;=B40,'班次明細'!H14&gt;=C40),1,0)+IF(AND('班次明細'!L21&gt;0,'班次明細'!G21&lt;=B40,'班次明細'!H21&gt;=C40),1,0)+IF(AND('班次明細'!L28&gt;0,'班次明細'!G28&lt;=B40,'班次明細'!H28&gt;=C40),1,0)+IF(AND('班次明細'!L35&gt;0,'班次明細'!G35&lt;=B40,'班次明細'!H35&gt;=C40),1,0)+IF(AND('班次明細'!L42&gt;0,'班次明細'!G42&lt;=B40,'班次明細'!H42&gt;=C40),1,0)+IF(AND('班次明細'!L49&gt;0,'班次明細'!G49&lt;=B40,'班次明細'!H49&gt;=C40),1,0)+IF(AND('班次明細'!L56&gt;0,'班次明細'!G56&lt;=B40,'班次明細'!H56&gt;=C40),1,0)+IF(AND('班次明細'!L63&gt;0,'班次明細'!G63&lt;=B40,'班次明細'!H63&gt;=C40),1,0)+IF(AND('班次明細'!L70&gt;0,'班次明細'!G70&lt;=B40,'班次明細'!H70&gt;=C40),1,0)+IF(AND('班次明細'!L77&gt;0,'班次明細'!G77&lt;=B40,'班次明細'!H77&gt;=C40),1,0)</x:f>
        <x:v>4</x:v>
      </x:c>
      <x:c r="H40" s="2" t="n">
        <x:f>MAX(0,E40-G40)</x:f>
        <x:v>0</x:v>
      </x:c>
      <x:c r="I40" s="2" t="n">
        <x:f>IF(F40="",0,MAX(0,G40-F40))</x:f>
        <x:v>0</x:v>
      </x:c>
      <x:c r="J40" s="2" t="n">
        <x:v>0</x:v>
      </x:c>
      <x:c r="K40" s="11" t="str">
        <x:v>—</x:v>
      </x:c>
      <x:c r="L40" s="11" t="str">
        <x:f>"營運參考"</x:f>
        <x:v>營運參考</x:v>
      </x:c>
    </x:row>
    <x:row r="41" ht="42" customHeight="1">
      <x:c r="A41" s="12" t="n">
        <x:v>46315</x:v>
      </x:c>
      <x:c r="B41" s="13" t="n">
        <x:v>0.6458333333333334</x:v>
      </x:c>
      <x:c r="C41" s="13" t="n">
        <x:v>0.6666666666666666</x:v>
      </x:c>
      <x:c r="D41" s="2" t="str">
        <x:v>營運參考</x:v>
      </x:c>
      <x:c r="E41" s="2" t="n">
        <x:v>0</x:v>
      </x:c>
      <x:c r="F41" s="2"/>
      <x:c r="G41" s="2" t="n">
        <x:f>IF(AND('班次明細'!L7&gt;0,'班次明細'!G7&lt;=B41,'班次明細'!H7&gt;=C41),1,0)+IF(AND('班次明細'!L14&gt;0,'班次明細'!G14&lt;=B41,'班次明細'!H14&gt;=C41),1,0)+IF(AND('班次明細'!L21&gt;0,'班次明細'!G21&lt;=B41,'班次明細'!H21&gt;=C41),1,0)+IF(AND('班次明細'!L28&gt;0,'班次明細'!G28&lt;=B41,'班次明細'!H28&gt;=C41),1,0)+IF(AND('班次明細'!L35&gt;0,'班次明細'!G35&lt;=B41,'班次明細'!H35&gt;=C41),1,0)+IF(AND('班次明細'!L42&gt;0,'班次明細'!G42&lt;=B41,'班次明細'!H42&gt;=C41),1,0)+IF(AND('班次明細'!L49&gt;0,'班次明細'!G49&lt;=B41,'班次明細'!H49&gt;=C41),1,0)+IF(AND('班次明細'!L56&gt;0,'班次明細'!G56&lt;=B41,'班次明細'!H56&gt;=C41),1,0)+IF(AND('班次明細'!L63&gt;0,'班次明細'!G63&lt;=B41,'班次明細'!H63&gt;=C41),1,0)+IF(AND('班次明細'!L70&gt;0,'班次明細'!G70&lt;=B41,'班次明細'!H70&gt;=C41),1,0)+IF(AND('班次明細'!L77&gt;0,'班次明細'!G77&lt;=B41,'班次明細'!H77&gt;=C41),1,0)</x:f>
        <x:v>3</x:v>
      </x:c>
      <x:c r="H41" s="2" t="n">
        <x:f>MAX(0,E41-G41)</x:f>
        <x:v>0</x:v>
      </x:c>
      <x:c r="I41" s="2" t="n">
        <x:f>IF(F41="",0,MAX(0,G41-F41))</x:f>
        <x:v>0</x:v>
      </x:c>
      <x:c r="J41" s="2" t="n">
        <x:v>0</x:v>
      </x:c>
      <x:c r="K41" s="11" t="str">
        <x:v>—</x:v>
      </x:c>
      <x:c r="L41" s="11" t="str">
        <x:f>"營運參考"</x:f>
        <x:v>營運參考</x:v>
      </x:c>
    </x:row>
    <x:row r="42" ht="42" customHeight="1">
      <x:c r="A42" s="12" t="n">
        <x:v>46315</x:v>
      </x:c>
      <x:c r="B42" s="13" t="n">
        <x:v>0.6666666666666666</x:v>
      </x:c>
      <x:c r="C42" s="13" t="n">
        <x:v>0.6875</x:v>
      </x:c>
      <x:c r="D42" s="2" t="str">
        <x:v>營運參考</x:v>
      </x:c>
      <x:c r="E42" s="2" t="n">
        <x:v>0</x:v>
      </x:c>
      <x:c r="F42" s="2"/>
      <x:c r="G42" s="2" t="n">
        <x:f>IF(AND('班次明細'!L7&gt;0,'班次明細'!G7&lt;=B42,'班次明細'!H7&gt;=C42),1,0)+IF(AND('班次明細'!L14&gt;0,'班次明細'!G14&lt;=B42,'班次明細'!H14&gt;=C42),1,0)+IF(AND('班次明細'!L21&gt;0,'班次明細'!G21&lt;=B42,'班次明細'!H21&gt;=C42),1,0)+IF(AND('班次明細'!L28&gt;0,'班次明細'!G28&lt;=B42,'班次明細'!H28&gt;=C42),1,0)+IF(AND('班次明細'!L35&gt;0,'班次明細'!G35&lt;=B42,'班次明細'!H35&gt;=C42),1,0)+IF(AND('班次明細'!L42&gt;0,'班次明細'!G42&lt;=B42,'班次明細'!H42&gt;=C42),1,0)+IF(AND('班次明細'!L49&gt;0,'班次明細'!G49&lt;=B42,'班次明細'!H49&gt;=C42),1,0)+IF(AND('班次明細'!L56&gt;0,'班次明細'!G56&lt;=B42,'班次明細'!H56&gt;=C42),1,0)+IF(AND('班次明細'!L63&gt;0,'班次明細'!G63&lt;=B42,'班次明細'!H63&gt;=C42),1,0)+IF(AND('班次明細'!L70&gt;0,'班次明細'!G70&lt;=B42,'班次明細'!H70&gt;=C42),1,0)+IF(AND('班次明細'!L77&gt;0,'班次明細'!G77&lt;=B42,'班次明細'!H77&gt;=C42),1,0)</x:f>
        <x:v>3</x:v>
      </x:c>
      <x:c r="H42" s="2" t="n">
        <x:f>MAX(0,E42-G42)</x:f>
        <x:v>0</x:v>
      </x:c>
      <x:c r="I42" s="2" t="n">
        <x:f>IF(F42="",0,MAX(0,G42-F42))</x:f>
        <x:v>0</x:v>
      </x:c>
      <x:c r="J42" s="2" t="n">
        <x:v>0</x:v>
      </x:c>
      <x:c r="K42" s="11" t="str">
        <x:v>—</x:v>
      </x:c>
      <x:c r="L42" s="11" t="str">
        <x:f>"營運參考"</x:f>
        <x:v>營運參考</x:v>
      </x:c>
    </x:row>
    <x:row r="43" ht="42" customHeight="1">
      <x:c r="A43" s="12" t="n">
        <x:v>46315</x:v>
      </x:c>
      <x:c r="B43" s="13" t="n">
        <x:v>0.6875</x:v>
      </x:c>
      <x:c r="C43" s="13" t="n">
        <x:v>0.7083333333333334</x:v>
      </x:c>
      <x:c r="D43" s="2" t="str">
        <x:v>營運參考</x:v>
      </x:c>
      <x:c r="E43" s="2" t="n">
        <x:v>0</x:v>
      </x:c>
      <x:c r="F43" s="2"/>
      <x:c r="G43" s="2" t="n">
        <x:f>IF(AND('班次明細'!L7&gt;0,'班次明細'!G7&lt;=B43,'班次明細'!H7&gt;=C43),1,0)+IF(AND('班次明細'!L14&gt;0,'班次明細'!G14&lt;=B43,'班次明細'!H14&gt;=C43),1,0)+IF(AND('班次明細'!L21&gt;0,'班次明細'!G21&lt;=B43,'班次明細'!H21&gt;=C43),1,0)+IF(AND('班次明細'!L28&gt;0,'班次明細'!G28&lt;=B43,'班次明細'!H28&gt;=C43),1,0)+IF(AND('班次明細'!L35&gt;0,'班次明細'!G35&lt;=B43,'班次明細'!H35&gt;=C43),1,0)+IF(AND('班次明細'!L42&gt;0,'班次明細'!G42&lt;=B43,'班次明細'!H42&gt;=C43),1,0)+IF(AND('班次明細'!L49&gt;0,'班次明細'!G49&lt;=B43,'班次明細'!H49&gt;=C43),1,0)+IF(AND('班次明細'!L56&gt;0,'班次明細'!G56&lt;=B43,'班次明細'!H56&gt;=C43),1,0)+IF(AND('班次明細'!L63&gt;0,'班次明細'!G63&lt;=B43,'班次明細'!H63&gt;=C43),1,0)+IF(AND('班次明細'!L70&gt;0,'班次明細'!G70&lt;=B43,'班次明細'!H70&gt;=C43),1,0)+IF(AND('班次明細'!L77&gt;0,'班次明細'!G77&lt;=B43,'班次明細'!H77&gt;=C43),1,0)</x:f>
        <x:v>3</x:v>
      </x:c>
      <x:c r="H43" s="2" t="n">
        <x:f>MAX(0,E43-G43)</x:f>
        <x:v>0</x:v>
      </x:c>
      <x:c r="I43" s="2" t="n">
        <x:f>IF(F43="",0,MAX(0,G43-F43))</x:f>
        <x:v>0</x:v>
      </x:c>
      <x:c r="J43" s="2" t="n">
        <x:v>0</x:v>
      </x:c>
      <x:c r="K43" s="11" t="str">
        <x:v>—</x:v>
      </x:c>
      <x:c r="L43" s="11" t="str">
        <x:f>"營運參考"</x:f>
        <x:v>營運參考</x:v>
      </x:c>
    </x:row>
    <x:row r="44" ht="42" customHeight="1">
      <x:c r="A44" s="12" t="n">
        <x:v>46315</x:v>
      </x:c>
      <x:c r="B44" s="13" t="n">
        <x:v>0.7083333333333334</x:v>
      </x:c>
      <x:c r="C44" s="13" t="n">
        <x:v>0.7291666666666666</x:v>
      </x:c>
      <x:c r="D44" s="2" t="str">
        <x:v>營運參考</x:v>
      </x:c>
      <x:c r="E44" s="2" t="n">
        <x:v>0</x:v>
      </x:c>
      <x:c r="F44" s="2"/>
      <x:c r="G44" s="2" t="n">
        <x:f>IF(AND('班次明細'!L7&gt;0,'班次明細'!G7&lt;=B44,'班次明細'!H7&gt;=C44),1,0)+IF(AND('班次明細'!L14&gt;0,'班次明細'!G14&lt;=B44,'班次明細'!H14&gt;=C44),1,0)+IF(AND('班次明細'!L21&gt;0,'班次明細'!G21&lt;=B44,'班次明細'!H21&gt;=C44),1,0)+IF(AND('班次明細'!L28&gt;0,'班次明細'!G28&lt;=B44,'班次明細'!H28&gt;=C44),1,0)+IF(AND('班次明細'!L35&gt;0,'班次明細'!G35&lt;=B44,'班次明細'!H35&gt;=C44),1,0)+IF(AND('班次明細'!L42&gt;0,'班次明細'!G42&lt;=B44,'班次明細'!H42&gt;=C44),1,0)+IF(AND('班次明細'!L49&gt;0,'班次明細'!G49&lt;=B44,'班次明細'!H49&gt;=C44),1,0)+IF(AND('班次明細'!L56&gt;0,'班次明細'!G56&lt;=B44,'班次明細'!H56&gt;=C44),1,0)+IF(AND('班次明細'!L63&gt;0,'班次明細'!G63&lt;=B44,'班次明細'!H63&gt;=C44),1,0)+IF(AND('班次明細'!L70&gt;0,'班次明細'!G70&lt;=B44,'班次明細'!H70&gt;=C44),1,0)+IF(AND('班次明細'!L77&gt;0,'班次明細'!G77&lt;=B44,'班次明細'!H77&gt;=C44),1,0)</x:f>
        <x:v>3</x:v>
      </x:c>
      <x:c r="H44" s="2" t="n">
        <x:f>MAX(0,E44-G44)</x:f>
        <x:v>0</x:v>
      </x:c>
      <x:c r="I44" s="2" t="n">
        <x:f>IF(F44="",0,MAX(0,G44-F44))</x:f>
        <x:v>0</x:v>
      </x:c>
      <x:c r="J44" s="2" t="n">
        <x:v>0</x:v>
      </x:c>
      <x:c r="K44" s="11" t="str">
        <x:v>—</x:v>
      </x:c>
      <x:c r="L44" s="11" t="str">
        <x:f>"營運參考"</x:f>
        <x:v>營運參考</x:v>
      </x:c>
    </x:row>
    <x:row r="45" ht="42" customHeight="1">
      <x:c r="A45" s="12" t="n">
        <x:v>46315</x:v>
      </x:c>
      <x:c r="B45" s="13" t="n">
        <x:v>0.7291666666666666</x:v>
      </x:c>
      <x:c r="C45" s="13" t="n">
        <x:v>0.75</x:v>
      </x:c>
      <x:c r="D45" s="2" t="str">
        <x:v>晚餐主崗</x:v>
      </x:c>
      <x:c r="E45" s="2" t="n">
        <x:v>5</x:v>
      </x:c>
      <x:c r="F45" s="2" t="n">
        <x:v>5</x:v>
      </x:c>
      <x:c r="G45" s="2" t="n">
        <x:f>IF(AND('班次明細'!L7&gt;0,'班次明細'!G7&lt;=B45,'班次明細'!H7&gt;=C45),1,0)+IF(AND('班次明細'!L14&gt;0,'班次明細'!G14&lt;=B45,'班次明細'!H14&gt;=C45),1,0)+IF(AND('班次明細'!L21&gt;0,'班次明細'!G21&lt;=B45,'班次明細'!H21&gt;=C45),1,0)+IF(AND('班次明細'!L28&gt;0,'班次明細'!G28&lt;=B45,'班次明細'!H28&gt;=C45),1,0)+IF(AND('班次明細'!L35&gt;0,'班次明細'!G35&lt;=B45,'班次明細'!H35&gt;=C45),1,0)+IF(AND('班次明細'!L42&gt;0,'班次明細'!G42&lt;=B45,'班次明細'!H42&gt;=C45),1,0)+IF(AND('班次明細'!L49&gt;0,'班次明細'!G49&lt;=B45,'班次明細'!H49&gt;=C45),1,0)+IF(AND('班次明細'!L56&gt;0,'班次明細'!G56&lt;=B45,'班次明細'!H56&gt;=C45),1,0)+IF(AND('班次明細'!L63&gt;0,'班次明細'!G63&lt;=B45,'班次明細'!H63&gt;=C45),1,0)+IF(AND('班次明細'!L70&gt;0,'班次明細'!G70&lt;=B45,'班次明細'!H70&gt;=C45),1,0)+IF(AND('班次明細'!L77&gt;0,'班次明細'!G77&lt;=B45,'班次明細'!H77&gt;=C45),1,0)</x:f>
        <x:v>3</x:v>
      </x:c>
      <x:c r="H45" s="2" t="n">
        <x:f>MAX(0,E45-G45)</x:f>
        <x:v>2</x:v>
      </x:c>
      <x:c r="I45" s="2" t="n">
        <x:f>IF(F45="",0,MAX(0,G45-F45))</x:f>
        <x:v>0</x:v>
      </x:c>
      <x:c r="J45" s="2" t="n">
        <x:f>IF((IF(RIGHT('班次明細'!O7,2)="外場",IF(AND('班次明細'!L7&gt;0,'班次明細'!G7&lt;=B45,'班次明細'!H7&gt;=C45),1,0),0)+IF(RIGHT('班次明細'!O14,2)="外場",IF(AND('班次明細'!L14&gt;0,'班次明細'!G14&lt;=B45,'班次明細'!H14&gt;=C45),1,0),0)+IF(RIGHT('班次明細'!O21,2)="外場",IF(AND('班次明細'!L21&gt;0,'班次明細'!G21&lt;=B45,'班次明細'!H21&gt;=C45),1,0),0)+IF(RIGHT('班次明細'!O28,2)="外場",IF(AND('班次明細'!L28&gt;0,'班次明細'!G28&lt;=B45,'班次明細'!H28&gt;=C45),1,0),0)+IF(RIGHT('班次明細'!O35,2)="外場",IF(AND('班次明細'!L35&gt;0,'班次明細'!G35&lt;=B45,'班次明細'!H35&gt;=C45),1,0),0)+IF(RIGHT('班次明細'!O42,2)="外場",IF(AND('班次明細'!L42&gt;0,'班次明細'!G42&lt;=B45,'班次明細'!H42&gt;=C45),1,0),0)+IF(RIGHT('班次明細'!O49,2)="外場",IF(AND('班次明細'!L49&gt;0,'班次明細'!G49&lt;=B45,'班次明細'!H49&gt;=C45),1,0),0)+IF(RIGHT('班次明細'!O56,2)="外場",IF(AND('班次明細'!L56&gt;0,'班次明細'!G56&lt;=B45,'班次明細'!H56&gt;=C45),1,0),0)+IF(RIGHT('班次明細'!O63,2)="外場",IF(AND('班次明細'!L63&gt;0,'班次明細'!G63&lt;=B45,'班次明細'!H63&gt;=C45),1,0),0)+IF(RIGHT('班次明細'!O70,2)="外場",IF(AND('班次明細'!L70&gt;0,'班次明細'!G70&lt;=B45,'班次明細'!H70&gt;=C45),1,0),0)+IF(RIGHT('班次明細'!O77,2)="外場",IF(AND('班次明細'!L77&gt;0,'班次明細'!G77&lt;=B45,'班次明細'!H77&gt;=C45),1,0),0))&gt;0,0,1)+IF((IF(RIGHT('班次明細'!O7,2)="吧台",IF(AND('班次明細'!L7&gt;0,'班次明細'!G7&lt;=B45,'班次明細'!H7&gt;=C45),1,0),0)+IF(RIGHT('班次明細'!O14,2)="吧台",IF(AND('班次明細'!L14&gt;0,'班次明細'!G14&lt;=B45,'班次明細'!H14&gt;=C45),1,0),0)+IF(RIGHT('班次明細'!O21,2)="吧台",IF(AND('班次明細'!L21&gt;0,'班次明細'!G21&lt;=B45,'班次明細'!H21&gt;=C45),1,0),0)+IF(RIGHT('班次明細'!O28,2)="吧台",IF(AND('班次明細'!L28&gt;0,'班次明細'!G28&lt;=B45,'班次明細'!H28&gt;=C45),1,0),0)+IF(RIGHT('班次明細'!O35,2)="吧台",IF(AND('班次明細'!L35&gt;0,'班次明細'!G35&lt;=B45,'班次明細'!H35&gt;=C45),1,0),0)+IF(RIGHT('班次明細'!O42,2)="吧台",IF(AND('班次明細'!L42&gt;0,'班次明細'!G42&lt;=B45,'班次明細'!H42&gt;=C45),1,0),0)+IF(RIGHT('班次明細'!O49,2)="吧台",IF(AND('班次明細'!L49&gt;0,'班次明細'!G49&lt;=B45,'班次明細'!H49&gt;=C45),1,0),0)+IF(RIGHT('班次明細'!O56,2)="吧台",IF(AND('班次明細'!L56&gt;0,'班次明細'!G56&lt;=B45,'班次明細'!H56&gt;=C45),1,0),0)+IF(RIGHT('班次明細'!O63,2)="吧台",IF(AND('班次明細'!L63&gt;0,'班次明細'!G63&lt;=B45,'班次明細'!H63&gt;=C45),1,0),0)+IF(RIGHT('班次明細'!O70,2)="吧台",IF(AND('班次明細'!L70&gt;0,'班次明細'!G70&lt;=B45,'班次明細'!H70&gt;=C45),1,0),0)+IF(RIGHT('班次明細'!O77,2)="吧台",IF(AND('班次明細'!L77&gt;0,'班次明細'!G77&lt;=B45,'班次明細'!H77&gt;=C45),1,0),0))&gt;0,0,1)+IF((IF(RIGHT('班次明細'!O7,2)="司爐",IF(AND('班次明細'!L7&gt;0,'班次明細'!G7&lt;=B45,'班次明細'!H7&gt;=C45),1,0),0)+IF(RIGHT('班次明細'!O14,2)="司爐",IF(AND('班次明細'!L14&gt;0,'班次明細'!G14&lt;=B45,'班次明細'!H14&gt;=C45),1,0),0)+IF(RIGHT('班次明細'!O21,2)="司爐",IF(AND('班次明細'!L21&gt;0,'班次明細'!G21&lt;=B45,'班次明細'!H21&gt;=C45),1,0),0)+IF(RIGHT('班次明細'!O28,2)="司爐",IF(AND('班次明細'!L28&gt;0,'班次明細'!G28&lt;=B45,'班次明細'!H28&gt;=C45),1,0),0)+IF(RIGHT('班次明細'!O35,2)="司爐",IF(AND('班次明細'!L35&gt;0,'班次明細'!G35&lt;=B45,'班次明細'!H35&gt;=C45),1,0),0)+IF(RIGHT('班次明細'!O42,2)="司爐",IF(AND('班次明細'!L42&gt;0,'班次明細'!G42&lt;=B45,'班次明細'!H42&gt;=C45),1,0),0)+IF(RIGHT('班次明細'!O49,2)="司爐",IF(AND('班次明細'!L49&gt;0,'班次明細'!G49&lt;=B45,'班次明細'!H49&gt;=C45),1,0),0)+IF(RIGHT('班次明細'!O56,2)="司爐",IF(AND('班次明細'!L56&gt;0,'班次明細'!G56&lt;=B45,'班次明細'!H56&gt;=C45),1,0),0)+IF(RIGHT('班次明細'!O63,2)="司爐",IF(AND('班次明細'!L63&gt;0,'班次明細'!G63&lt;=B45,'班次明細'!H63&gt;=C45),1,0),0)+IF(RIGHT('班次明細'!O70,2)="司爐",IF(AND('班次明細'!L70&gt;0,'班次明細'!G70&lt;=B45,'班次明細'!H70&gt;=C45),1,0),0)+IF(RIGHT('班次明細'!O77,2)="司爐",IF(AND('班次明細'!L77&gt;0,'班次明細'!G77&lt;=B45,'班次明細'!H77&gt;=C45),1,0),0))&gt;0,0,1)+IF((IF(RIGHT('班次明細'!O7,2)="料區",IF(AND('班次明細'!L7&gt;0,'班次明細'!G7&lt;=B45,'班次明細'!H7&gt;=C45),1,0),0)+IF(RIGHT('班次明細'!O14,2)="料區",IF(AND('班次明細'!L14&gt;0,'班次明細'!G14&lt;=B45,'班次明細'!H14&gt;=C45),1,0),0)+IF(RIGHT('班次明細'!O21,2)="料區",IF(AND('班次明細'!L21&gt;0,'班次明細'!G21&lt;=B45,'班次明細'!H21&gt;=C45),1,0),0)+IF(RIGHT('班次明細'!O28,2)="料區",IF(AND('班次明細'!L28&gt;0,'班次明細'!G28&lt;=B45,'班次明細'!H28&gt;=C45),1,0),0)+IF(RIGHT('班次明細'!O35,2)="料區",IF(AND('班次明細'!L35&gt;0,'班次明細'!G35&lt;=B45,'班次明細'!H35&gt;=C45),1,0),0)+IF(RIGHT('班次明細'!O42,2)="料區",IF(AND('班次明細'!L42&gt;0,'班次明細'!G42&lt;=B45,'班次明細'!H42&gt;=C45),1,0),0)+IF(RIGHT('班次明細'!O49,2)="料區",IF(AND('班次明細'!L49&gt;0,'班次明細'!G49&lt;=B45,'班次明細'!H49&gt;=C45),1,0),0)+IF(RIGHT('班次明細'!O56,2)="料區",IF(AND('班次明細'!L56&gt;0,'班次明細'!G56&lt;=B45,'班次明細'!H56&gt;=C45),1,0),0)+IF(RIGHT('班次明細'!O63,2)="料區",IF(AND('班次明細'!L63&gt;0,'班次明細'!G63&lt;=B45,'班次明細'!H63&gt;=C45),1,0),0)+IF(RIGHT('班次明細'!O70,2)="料區",IF(AND('班次明細'!L70&gt;0,'班次明細'!G70&lt;=B45,'班次明細'!H70&gt;=C45),1,0),0)+IF(RIGHT('班次明細'!O77,2)="料區",IF(AND('班次明細'!L77&gt;0,'班次明細'!G77&lt;=B45,'班次明細'!H77&gt;=C45),1,0),0))&gt;0,0,1)+IF((IF(RIGHT('班次明細'!O7,2)="炸區",IF(AND('班次明細'!L7&gt;0,'班次明細'!G7&lt;=B45,'班次明細'!H7&gt;=C45),1,0),0)+IF(RIGHT('班次明細'!O14,2)="炸區",IF(AND('班次明細'!L14&gt;0,'班次明細'!G14&lt;=B45,'班次明細'!H14&gt;=C45),1,0),0)+IF(RIGHT('班次明細'!O21,2)="炸區",IF(AND('班次明細'!L21&gt;0,'班次明細'!G21&lt;=B45,'班次明細'!H21&gt;=C45),1,0),0)+IF(RIGHT('班次明細'!O28,2)="炸區",IF(AND('班次明細'!L28&gt;0,'班次明細'!G28&lt;=B45,'班次明細'!H28&gt;=C45),1,0),0)+IF(RIGHT('班次明細'!O35,2)="炸區",IF(AND('班次明細'!L35&gt;0,'班次明細'!G35&lt;=B45,'班次明細'!H35&gt;=C45),1,0),0)+IF(RIGHT('班次明細'!O42,2)="炸區",IF(AND('班次明細'!L42&gt;0,'班次明細'!G42&lt;=B45,'班次明細'!H42&gt;=C45),1,0),0)+IF(RIGHT('班次明細'!O49,2)="炸區",IF(AND('班次明細'!L49&gt;0,'班次明細'!G49&lt;=B45,'班次明細'!H49&gt;=C45),1,0),0)+IF(RIGHT('班次明細'!O56,2)="炸區",IF(AND('班次明細'!L56&gt;0,'班次明細'!G56&lt;=B45,'班次明細'!H56&gt;=C45),1,0),0)+IF(RIGHT('班次明細'!O63,2)="炸區",IF(AND('班次明細'!L63&gt;0,'班次明細'!G63&lt;=B45,'班次明細'!H63&gt;=C45),1,0),0)+IF(RIGHT('班次明細'!O70,2)="炸區",IF(AND('班次明細'!L70&gt;0,'班次明細'!G70&lt;=B45,'班次明細'!H70&gt;=C45),1,0),0)+IF(RIGHT('班次明細'!O77,2)="炸區",IF(AND('班次明細'!L77&gt;0,'班次明細'!G77&lt;=B45,'班次明細'!H77&gt;=C45),1,0),0))&gt;0,0,1)</x:f>
        <x:v>2</x:v>
      </x:c>
      <x:c r="K45" s="11" t="str">
        <x:v>P02:炸區；P03:吧台；P09:司爐</x:v>
      </x:c>
      <x:c r="L45" s="11" t="str">
        <x:f>IF(OR(H45&gt;0,I45&gt;0,J45&gt;0),"缺口／超額待處理","主崗齊；休息待現場")</x:f>
        <x:v>缺口／超額待處理</x:v>
      </x:c>
    </x:row>
    <x:row r="46" ht="42" customHeight="1">
      <x:c r="A46" s="12" t="n">
        <x:v>46315</x:v>
      </x:c>
      <x:c r="B46" s="13" t="n">
        <x:v>0.75</x:v>
      </x:c>
      <x:c r="C46" s="13" t="n">
        <x:v>0.7708333333333334</x:v>
      </x:c>
      <x:c r="D46" s="2" t="str">
        <x:v>晚餐主崗</x:v>
      </x:c>
      <x:c r="E46" s="2" t="n">
        <x:v>5</x:v>
      </x:c>
      <x:c r="F46" s="2" t="n">
        <x:v>5</x:v>
      </x:c>
      <x:c r="G46" s="2" t="n">
        <x:f>IF(AND('班次明細'!L7&gt;0,'班次明細'!G7&lt;=B46,'班次明細'!H7&gt;=C46),1,0)+IF(AND('班次明細'!L14&gt;0,'班次明細'!G14&lt;=B46,'班次明細'!H14&gt;=C46),1,0)+IF(AND('班次明細'!L21&gt;0,'班次明細'!G21&lt;=B46,'班次明細'!H21&gt;=C46),1,0)+IF(AND('班次明細'!L28&gt;0,'班次明細'!G28&lt;=B46,'班次明細'!H28&gt;=C46),1,0)+IF(AND('班次明細'!L35&gt;0,'班次明細'!G35&lt;=B46,'班次明細'!H35&gt;=C46),1,0)+IF(AND('班次明細'!L42&gt;0,'班次明細'!G42&lt;=B46,'班次明細'!H42&gt;=C46),1,0)+IF(AND('班次明細'!L49&gt;0,'班次明細'!G49&lt;=B46,'班次明細'!H49&gt;=C46),1,0)+IF(AND('班次明細'!L56&gt;0,'班次明細'!G56&lt;=B46,'班次明細'!H56&gt;=C46),1,0)+IF(AND('班次明細'!L63&gt;0,'班次明細'!G63&lt;=B46,'班次明細'!H63&gt;=C46),1,0)+IF(AND('班次明細'!L70&gt;0,'班次明細'!G70&lt;=B46,'班次明細'!H70&gt;=C46),1,0)+IF(AND('班次明細'!L77&gt;0,'班次明細'!G77&lt;=B46,'班次明細'!H77&gt;=C46),1,0)</x:f>
        <x:v>5</x:v>
      </x:c>
      <x:c r="H46" s="2" t="n">
        <x:f>MAX(0,E46-G46)</x:f>
        <x:v>0</x:v>
      </x:c>
      <x:c r="I46" s="2" t="n">
        <x:f>IF(F46="",0,MAX(0,G46-F46))</x:f>
        <x:v>0</x:v>
      </x:c>
      <x:c r="J46" s="2" t="n">
        <x:f>IF((IF(RIGHT('班次明細'!O7,2)="外場",IF(AND('班次明細'!L7&gt;0,'班次明細'!G7&lt;=B46,'班次明細'!H7&gt;=C46),1,0),0)+IF(RIGHT('班次明細'!O14,2)="外場",IF(AND('班次明細'!L14&gt;0,'班次明細'!G14&lt;=B46,'班次明細'!H14&gt;=C46),1,0),0)+IF(RIGHT('班次明細'!O21,2)="外場",IF(AND('班次明細'!L21&gt;0,'班次明細'!G21&lt;=B46,'班次明細'!H21&gt;=C46),1,0),0)+IF(RIGHT('班次明細'!O28,2)="外場",IF(AND('班次明細'!L28&gt;0,'班次明細'!G28&lt;=B46,'班次明細'!H28&gt;=C46),1,0),0)+IF(RIGHT('班次明細'!O35,2)="外場",IF(AND('班次明細'!L35&gt;0,'班次明細'!G35&lt;=B46,'班次明細'!H35&gt;=C46),1,0),0)+IF(RIGHT('班次明細'!O42,2)="外場",IF(AND('班次明細'!L42&gt;0,'班次明細'!G42&lt;=B46,'班次明細'!H42&gt;=C46),1,0),0)+IF(RIGHT('班次明細'!O49,2)="外場",IF(AND('班次明細'!L49&gt;0,'班次明細'!G49&lt;=B46,'班次明細'!H49&gt;=C46),1,0),0)+IF(RIGHT('班次明細'!O56,2)="外場",IF(AND('班次明細'!L56&gt;0,'班次明細'!G56&lt;=B46,'班次明細'!H56&gt;=C46),1,0),0)+IF(RIGHT('班次明細'!O63,2)="外場",IF(AND('班次明細'!L63&gt;0,'班次明細'!G63&lt;=B46,'班次明細'!H63&gt;=C46),1,0),0)+IF(RIGHT('班次明細'!O70,2)="外場",IF(AND('班次明細'!L70&gt;0,'班次明細'!G70&lt;=B46,'班次明細'!H70&gt;=C46),1,0),0)+IF(RIGHT('班次明細'!O77,2)="外場",IF(AND('班次明細'!L77&gt;0,'班次明細'!G77&lt;=B46,'班次明細'!H77&gt;=C46),1,0),0))&gt;0,0,1)+IF((IF(RIGHT('班次明細'!O7,2)="吧台",IF(AND('班次明細'!L7&gt;0,'班次明細'!G7&lt;=B46,'班次明細'!H7&gt;=C46),1,0),0)+IF(RIGHT('班次明細'!O14,2)="吧台",IF(AND('班次明細'!L14&gt;0,'班次明細'!G14&lt;=B46,'班次明細'!H14&gt;=C46),1,0),0)+IF(RIGHT('班次明細'!O21,2)="吧台",IF(AND('班次明細'!L21&gt;0,'班次明細'!G21&lt;=B46,'班次明細'!H21&gt;=C46),1,0),0)+IF(RIGHT('班次明細'!O28,2)="吧台",IF(AND('班次明細'!L28&gt;0,'班次明細'!G28&lt;=B46,'班次明細'!H28&gt;=C46),1,0),0)+IF(RIGHT('班次明細'!O35,2)="吧台",IF(AND('班次明細'!L35&gt;0,'班次明細'!G35&lt;=B46,'班次明細'!H35&gt;=C46),1,0),0)+IF(RIGHT('班次明細'!O42,2)="吧台",IF(AND('班次明細'!L42&gt;0,'班次明細'!G42&lt;=B46,'班次明細'!H42&gt;=C46),1,0),0)+IF(RIGHT('班次明細'!O49,2)="吧台",IF(AND('班次明細'!L49&gt;0,'班次明細'!G49&lt;=B46,'班次明細'!H49&gt;=C46),1,0),0)+IF(RIGHT('班次明細'!O56,2)="吧台",IF(AND('班次明細'!L56&gt;0,'班次明細'!G56&lt;=B46,'班次明細'!H56&gt;=C46),1,0),0)+IF(RIGHT('班次明細'!O63,2)="吧台",IF(AND('班次明細'!L63&gt;0,'班次明細'!G63&lt;=B46,'班次明細'!H63&gt;=C46),1,0),0)+IF(RIGHT('班次明細'!O70,2)="吧台",IF(AND('班次明細'!L70&gt;0,'班次明細'!G70&lt;=B46,'班次明細'!H70&gt;=C46),1,0),0)+IF(RIGHT('班次明細'!O77,2)="吧台",IF(AND('班次明細'!L77&gt;0,'班次明細'!G77&lt;=B46,'班次明細'!H77&gt;=C46),1,0),0))&gt;0,0,1)+IF((IF(RIGHT('班次明細'!O7,2)="司爐",IF(AND('班次明細'!L7&gt;0,'班次明細'!G7&lt;=B46,'班次明細'!H7&gt;=C46),1,0),0)+IF(RIGHT('班次明細'!O14,2)="司爐",IF(AND('班次明細'!L14&gt;0,'班次明細'!G14&lt;=B46,'班次明細'!H14&gt;=C46),1,0),0)+IF(RIGHT('班次明細'!O21,2)="司爐",IF(AND('班次明細'!L21&gt;0,'班次明細'!G21&lt;=B46,'班次明細'!H21&gt;=C46),1,0),0)+IF(RIGHT('班次明細'!O28,2)="司爐",IF(AND('班次明細'!L28&gt;0,'班次明細'!G28&lt;=B46,'班次明細'!H28&gt;=C46),1,0),0)+IF(RIGHT('班次明細'!O35,2)="司爐",IF(AND('班次明細'!L35&gt;0,'班次明細'!G35&lt;=B46,'班次明細'!H35&gt;=C46),1,0),0)+IF(RIGHT('班次明細'!O42,2)="司爐",IF(AND('班次明細'!L42&gt;0,'班次明細'!G42&lt;=B46,'班次明細'!H42&gt;=C46),1,0),0)+IF(RIGHT('班次明細'!O49,2)="司爐",IF(AND('班次明細'!L49&gt;0,'班次明細'!G49&lt;=B46,'班次明細'!H49&gt;=C46),1,0),0)+IF(RIGHT('班次明細'!O56,2)="司爐",IF(AND('班次明細'!L56&gt;0,'班次明細'!G56&lt;=B46,'班次明細'!H56&gt;=C46),1,0),0)+IF(RIGHT('班次明細'!O63,2)="司爐",IF(AND('班次明細'!L63&gt;0,'班次明細'!G63&lt;=B46,'班次明細'!H63&gt;=C46),1,0),0)+IF(RIGHT('班次明細'!O70,2)="司爐",IF(AND('班次明細'!L70&gt;0,'班次明細'!G70&lt;=B46,'班次明細'!H70&gt;=C46),1,0),0)+IF(RIGHT('班次明細'!O77,2)="司爐",IF(AND('班次明細'!L77&gt;0,'班次明細'!G77&lt;=B46,'班次明細'!H77&gt;=C46),1,0),0))&gt;0,0,1)+IF((IF(RIGHT('班次明細'!O7,2)="料區",IF(AND('班次明細'!L7&gt;0,'班次明細'!G7&lt;=B46,'班次明細'!H7&gt;=C46),1,0),0)+IF(RIGHT('班次明細'!O14,2)="料區",IF(AND('班次明細'!L14&gt;0,'班次明細'!G14&lt;=B46,'班次明細'!H14&gt;=C46),1,0),0)+IF(RIGHT('班次明細'!O21,2)="料區",IF(AND('班次明細'!L21&gt;0,'班次明細'!G21&lt;=B46,'班次明細'!H21&gt;=C46),1,0),0)+IF(RIGHT('班次明細'!O28,2)="料區",IF(AND('班次明細'!L28&gt;0,'班次明細'!G28&lt;=B46,'班次明細'!H28&gt;=C46),1,0),0)+IF(RIGHT('班次明細'!O35,2)="料區",IF(AND('班次明細'!L35&gt;0,'班次明細'!G35&lt;=B46,'班次明細'!H35&gt;=C46),1,0),0)+IF(RIGHT('班次明細'!O42,2)="料區",IF(AND('班次明細'!L42&gt;0,'班次明細'!G42&lt;=B46,'班次明細'!H42&gt;=C46),1,0),0)+IF(RIGHT('班次明細'!O49,2)="料區",IF(AND('班次明細'!L49&gt;0,'班次明細'!G49&lt;=B46,'班次明細'!H49&gt;=C46),1,0),0)+IF(RIGHT('班次明細'!O56,2)="料區",IF(AND('班次明細'!L56&gt;0,'班次明細'!G56&lt;=B46,'班次明細'!H56&gt;=C46),1,0),0)+IF(RIGHT('班次明細'!O63,2)="料區",IF(AND('班次明細'!L63&gt;0,'班次明細'!G63&lt;=B46,'班次明細'!H63&gt;=C46),1,0),0)+IF(RIGHT('班次明細'!O70,2)="料區",IF(AND('班次明細'!L70&gt;0,'班次明細'!G70&lt;=B46,'班次明細'!H70&gt;=C46),1,0),0)+IF(RIGHT('班次明細'!O77,2)="料區",IF(AND('班次明細'!L77&gt;0,'班次明細'!G77&lt;=B46,'班次明細'!H77&gt;=C46),1,0),0))&gt;0,0,1)+IF((IF(RIGHT('班次明細'!O7,2)="炸區",IF(AND('班次明細'!L7&gt;0,'班次明細'!G7&lt;=B46,'班次明細'!H7&gt;=C46),1,0),0)+IF(RIGHT('班次明細'!O14,2)="炸區",IF(AND('班次明細'!L14&gt;0,'班次明細'!G14&lt;=B46,'班次明細'!H14&gt;=C46),1,0),0)+IF(RIGHT('班次明細'!O21,2)="炸區",IF(AND('班次明細'!L21&gt;0,'班次明細'!G21&lt;=B46,'班次明細'!H21&gt;=C46),1,0),0)+IF(RIGHT('班次明細'!O28,2)="炸區",IF(AND('班次明細'!L28&gt;0,'班次明細'!G28&lt;=B46,'班次明細'!H28&gt;=C46),1,0),0)+IF(RIGHT('班次明細'!O35,2)="炸區",IF(AND('班次明細'!L35&gt;0,'班次明細'!G35&lt;=B46,'班次明細'!H35&gt;=C46),1,0),0)+IF(RIGHT('班次明細'!O42,2)="炸區",IF(AND('班次明細'!L42&gt;0,'班次明細'!G42&lt;=B46,'班次明細'!H42&gt;=C46),1,0),0)+IF(RIGHT('班次明細'!O49,2)="炸區",IF(AND('班次明細'!L49&gt;0,'班次明細'!G49&lt;=B46,'班次明細'!H49&gt;=C46),1,0),0)+IF(RIGHT('班次明細'!O56,2)="炸區",IF(AND('班次明細'!L56&gt;0,'班次明細'!G56&lt;=B46,'班次明細'!H56&gt;=C46),1,0),0)+IF(RIGHT('班次明細'!O63,2)="炸區",IF(AND('班次明細'!L63&gt;0,'班次明細'!G63&lt;=B46,'班次明細'!H63&gt;=C46),1,0),0)+IF(RIGHT('班次明細'!O70,2)="炸區",IF(AND('班次明細'!L70&gt;0,'班次明細'!G70&lt;=B46,'班次明細'!H70&gt;=C46),1,0),0)+IF(RIGHT('班次明細'!O77,2)="炸區",IF(AND('班次明細'!L77&gt;0,'班次明細'!G77&lt;=B46,'班次明細'!H77&gt;=C46),1,0),0))&gt;0,0,1)</x:f>
        <x:v>0</x:v>
      </x:c>
      <x:c r="K46" s="11" t="str">
        <x:v>P02:炸區；P03:吧台；P06:料區；P07:外場；P09:司爐</x:v>
      </x:c>
      <x:c r="L46" s="11" t="str">
        <x:f>IF(OR(H46&gt;0,I46&gt;0,J46&gt;0),"缺口／超額待處理","主崗齊；休息待現場")</x:f>
        <x:v>主崗齊；休息待現場</x:v>
      </x:c>
    </x:row>
    <x:row r="47" ht="42" customHeight="1">
      <x:c r="A47" s="12" t="n">
        <x:v>46315</x:v>
      </x:c>
      <x:c r="B47" s="13" t="n">
        <x:v>0.7708333333333334</x:v>
      </x:c>
      <x:c r="C47" s="13" t="n">
        <x:v>0.7916666666666666</x:v>
      </x:c>
      <x:c r="D47" s="2" t="str">
        <x:v>晚餐主崗</x:v>
      </x:c>
      <x:c r="E47" s="2" t="n">
        <x:v>5</x:v>
      </x:c>
      <x:c r="F47" s="2" t="n">
        <x:v>5</x:v>
      </x:c>
      <x:c r="G47" s="2" t="n">
        <x:f>IF(AND('班次明細'!L7&gt;0,'班次明細'!G7&lt;=B47,'班次明細'!H7&gt;=C47),1,0)+IF(AND('班次明細'!L14&gt;0,'班次明細'!G14&lt;=B47,'班次明細'!H14&gt;=C47),1,0)+IF(AND('班次明細'!L21&gt;0,'班次明細'!G21&lt;=B47,'班次明細'!H21&gt;=C47),1,0)+IF(AND('班次明細'!L28&gt;0,'班次明細'!G28&lt;=B47,'班次明細'!H28&gt;=C47),1,0)+IF(AND('班次明細'!L35&gt;0,'班次明細'!G35&lt;=B47,'班次明細'!H35&gt;=C47),1,0)+IF(AND('班次明細'!L42&gt;0,'班次明細'!G42&lt;=B47,'班次明細'!H42&gt;=C47),1,0)+IF(AND('班次明細'!L49&gt;0,'班次明細'!G49&lt;=B47,'班次明細'!H49&gt;=C47),1,0)+IF(AND('班次明細'!L56&gt;0,'班次明細'!G56&lt;=B47,'班次明細'!H56&gt;=C47),1,0)+IF(AND('班次明細'!L63&gt;0,'班次明細'!G63&lt;=B47,'班次明細'!H63&gt;=C47),1,0)+IF(AND('班次明細'!L70&gt;0,'班次明細'!G70&lt;=B47,'班次明細'!H70&gt;=C47),1,0)+IF(AND('班次明細'!L77&gt;0,'班次明細'!G77&lt;=B47,'班次明細'!H77&gt;=C47),1,0)</x:f>
        <x:v>5</x:v>
      </x:c>
      <x:c r="H47" s="2" t="n">
        <x:f>MAX(0,E47-G47)</x:f>
        <x:v>0</x:v>
      </x:c>
      <x:c r="I47" s="2" t="n">
        <x:f>IF(F47="",0,MAX(0,G47-F47))</x:f>
        <x:v>0</x:v>
      </x:c>
      <x:c r="J47" s="2" t="n">
        <x:f>IF((IF(RIGHT('班次明細'!O7,2)="外場",IF(AND('班次明細'!L7&gt;0,'班次明細'!G7&lt;=B47,'班次明細'!H7&gt;=C47),1,0),0)+IF(RIGHT('班次明細'!O14,2)="外場",IF(AND('班次明細'!L14&gt;0,'班次明細'!G14&lt;=B47,'班次明細'!H14&gt;=C47),1,0),0)+IF(RIGHT('班次明細'!O21,2)="外場",IF(AND('班次明細'!L21&gt;0,'班次明細'!G21&lt;=B47,'班次明細'!H21&gt;=C47),1,0),0)+IF(RIGHT('班次明細'!O28,2)="外場",IF(AND('班次明細'!L28&gt;0,'班次明細'!G28&lt;=B47,'班次明細'!H28&gt;=C47),1,0),0)+IF(RIGHT('班次明細'!O35,2)="外場",IF(AND('班次明細'!L35&gt;0,'班次明細'!G35&lt;=B47,'班次明細'!H35&gt;=C47),1,0),0)+IF(RIGHT('班次明細'!O42,2)="外場",IF(AND('班次明細'!L42&gt;0,'班次明細'!G42&lt;=B47,'班次明細'!H42&gt;=C47),1,0),0)+IF(RIGHT('班次明細'!O49,2)="外場",IF(AND('班次明細'!L49&gt;0,'班次明細'!G49&lt;=B47,'班次明細'!H49&gt;=C47),1,0),0)+IF(RIGHT('班次明細'!O56,2)="外場",IF(AND('班次明細'!L56&gt;0,'班次明細'!G56&lt;=B47,'班次明細'!H56&gt;=C47),1,0),0)+IF(RIGHT('班次明細'!O63,2)="外場",IF(AND('班次明細'!L63&gt;0,'班次明細'!G63&lt;=B47,'班次明細'!H63&gt;=C47),1,0),0)+IF(RIGHT('班次明細'!O70,2)="外場",IF(AND('班次明細'!L70&gt;0,'班次明細'!G70&lt;=B47,'班次明細'!H70&gt;=C47),1,0),0)+IF(RIGHT('班次明細'!O77,2)="外場",IF(AND('班次明細'!L77&gt;0,'班次明細'!G77&lt;=B47,'班次明細'!H77&gt;=C47),1,0),0))&gt;0,0,1)+IF((IF(RIGHT('班次明細'!O7,2)="吧台",IF(AND('班次明細'!L7&gt;0,'班次明細'!G7&lt;=B47,'班次明細'!H7&gt;=C47),1,0),0)+IF(RIGHT('班次明細'!O14,2)="吧台",IF(AND('班次明細'!L14&gt;0,'班次明細'!G14&lt;=B47,'班次明細'!H14&gt;=C47),1,0),0)+IF(RIGHT('班次明細'!O21,2)="吧台",IF(AND('班次明細'!L21&gt;0,'班次明細'!G21&lt;=B47,'班次明細'!H21&gt;=C47),1,0),0)+IF(RIGHT('班次明細'!O28,2)="吧台",IF(AND('班次明細'!L28&gt;0,'班次明細'!G28&lt;=B47,'班次明細'!H28&gt;=C47),1,0),0)+IF(RIGHT('班次明細'!O35,2)="吧台",IF(AND('班次明細'!L35&gt;0,'班次明細'!G35&lt;=B47,'班次明細'!H35&gt;=C47),1,0),0)+IF(RIGHT('班次明細'!O42,2)="吧台",IF(AND('班次明細'!L42&gt;0,'班次明細'!G42&lt;=B47,'班次明細'!H42&gt;=C47),1,0),0)+IF(RIGHT('班次明細'!O49,2)="吧台",IF(AND('班次明細'!L49&gt;0,'班次明細'!G49&lt;=B47,'班次明細'!H49&gt;=C47),1,0),0)+IF(RIGHT('班次明細'!O56,2)="吧台",IF(AND('班次明細'!L56&gt;0,'班次明細'!G56&lt;=B47,'班次明細'!H56&gt;=C47),1,0),0)+IF(RIGHT('班次明細'!O63,2)="吧台",IF(AND('班次明細'!L63&gt;0,'班次明細'!G63&lt;=B47,'班次明細'!H63&gt;=C47),1,0),0)+IF(RIGHT('班次明細'!O70,2)="吧台",IF(AND('班次明細'!L70&gt;0,'班次明細'!G70&lt;=B47,'班次明細'!H70&gt;=C47),1,0),0)+IF(RIGHT('班次明細'!O77,2)="吧台",IF(AND('班次明細'!L77&gt;0,'班次明細'!G77&lt;=B47,'班次明細'!H77&gt;=C47),1,0),0))&gt;0,0,1)+IF((IF(RIGHT('班次明細'!O7,2)="司爐",IF(AND('班次明細'!L7&gt;0,'班次明細'!G7&lt;=B47,'班次明細'!H7&gt;=C47),1,0),0)+IF(RIGHT('班次明細'!O14,2)="司爐",IF(AND('班次明細'!L14&gt;0,'班次明細'!G14&lt;=B47,'班次明細'!H14&gt;=C47),1,0),0)+IF(RIGHT('班次明細'!O21,2)="司爐",IF(AND('班次明細'!L21&gt;0,'班次明細'!G21&lt;=B47,'班次明細'!H21&gt;=C47),1,0),0)+IF(RIGHT('班次明細'!O28,2)="司爐",IF(AND('班次明細'!L28&gt;0,'班次明細'!G28&lt;=B47,'班次明細'!H28&gt;=C47),1,0),0)+IF(RIGHT('班次明細'!O35,2)="司爐",IF(AND('班次明細'!L35&gt;0,'班次明細'!G35&lt;=B47,'班次明細'!H35&gt;=C47),1,0),0)+IF(RIGHT('班次明細'!O42,2)="司爐",IF(AND('班次明細'!L42&gt;0,'班次明細'!G42&lt;=B47,'班次明細'!H42&gt;=C47),1,0),0)+IF(RIGHT('班次明細'!O49,2)="司爐",IF(AND('班次明細'!L49&gt;0,'班次明細'!G49&lt;=B47,'班次明細'!H49&gt;=C47),1,0),0)+IF(RIGHT('班次明細'!O56,2)="司爐",IF(AND('班次明細'!L56&gt;0,'班次明細'!G56&lt;=B47,'班次明細'!H56&gt;=C47),1,0),0)+IF(RIGHT('班次明細'!O63,2)="司爐",IF(AND('班次明細'!L63&gt;0,'班次明細'!G63&lt;=B47,'班次明細'!H63&gt;=C47),1,0),0)+IF(RIGHT('班次明細'!O70,2)="司爐",IF(AND('班次明細'!L70&gt;0,'班次明細'!G70&lt;=B47,'班次明細'!H70&gt;=C47),1,0),0)+IF(RIGHT('班次明細'!O77,2)="司爐",IF(AND('班次明細'!L77&gt;0,'班次明細'!G77&lt;=B47,'班次明細'!H77&gt;=C47),1,0),0))&gt;0,0,1)+IF((IF(RIGHT('班次明細'!O7,2)="料區",IF(AND('班次明細'!L7&gt;0,'班次明細'!G7&lt;=B47,'班次明細'!H7&gt;=C47),1,0),0)+IF(RIGHT('班次明細'!O14,2)="料區",IF(AND('班次明細'!L14&gt;0,'班次明細'!G14&lt;=B47,'班次明細'!H14&gt;=C47),1,0),0)+IF(RIGHT('班次明細'!O21,2)="料區",IF(AND('班次明細'!L21&gt;0,'班次明細'!G21&lt;=B47,'班次明細'!H21&gt;=C47),1,0),0)+IF(RIGHT('班次明細'!O28,2)="料區",IF(AND('班次明細'!L28&gt;0,'班次明細'!G28&lt;=B47,'班次明細'!H28&gt;=C47),1,0),0)+IF(RIGHT('班次明細'!O35,2)="料區",IF(AND('班次明細'!L35&gt;0,'班次明細'!G35&lt;=B47,'班次明細'!H35&gt;=C47),1,0),0)+IF(RIGHT('班次明細'!O42,2)="料區",IF(AND('班次明細'!L42&gt;0,'班次明細'!G42&lt;=B47,'班次明細'!H42&gt;=C47),1,0),0)+IF(RIGHT('班次明細'!O49,2)="料區",IF(AND('班次明細'!L49&gt;0,'班次明細'!G49&lt;=B47,'班次明細'!H49&gt;=C47),1,0),0)+IF(RIGHT('班次明細'!O56,2)="料區",IF(AND('班次明細'!L56&gt;0,'班次明細'!G56&lt;=B47,'班次明細'!H56&gt;=C47),1,0),0)+IF(RIGHT('班次明細'!O63,2)="料區",IF(AND('班次明細'!L63&gt;0,'班次明細'!G63&lt;=B47,'班次明細'!H63&gt;=C47),1,0),0)+IF(RIGHT('班次明細'!O70,2)="料區",IF(AND('班次明細'!L70&gt;0,'班次明細'!G70&lt;=B47,'班次明細'!H70&gt;=C47),1,0),0)+IF(RIGHT('班次明細'!O77,2)="料區",IF(AND('班次明細'!L77&gt;0,'班次明細'!G77&lt;=B47,'班次明細'!H77&gt;=C47),1,0),0))&gt;0,0,1)+IF((IF(RIGHT('班次明細'!O7,2)="炸區",IF(AND('班次明細'!L7&gt;0,'班次明細'!G7&lt;=B47,'班次明細'!H7&gt;=C47),1,0),0)+IF(RIGHT('班次明細'!O14,2)="炸區",IF(AND('班次明細'!L14&gt;0,'班次明細'!G14&lt;=B47,'班次明細'!H14&gt;=C47),1,0),0)+IF(RIGHT('班次明細'!O21,2)="炸區",IF(AND('班次明細'!L21&gt;0,'班次明細'!G21&lt;=B47,'班次明細'!H21&gt;=C47),1,0),0)+IF(RIGHT('班次明細'!O28,2)="炸區",IF(AND('班次明細'!L28&gt;0,'班次明細'!G28&lt;=B47,'班次明細'!H28&gt;=C47),1,0),0)+IF(RIGHT('班次明細'!O35,2)="炸區",IF(AND('班次明細'!L35&gt;0,'班次明細'!G35&lt;=B47,'班次明細'!H35&gt;=C47),1,0),0)+IF(RIGHT('班次明細'!O42,2)="炸區",IF(AND('班次明細'!L42&gt;0,'班次明細'!G42&lt;=B47,'班次明細'!H42&gt;=C47),1,0),0)+IF(RIGHT('班次明細'!O49,2)="炸區",IF(AND('班次明細'!L49&gt;0,'班次明細'!G49&lt;=B47,'班次明細'!H49&gt;=C47),1,0),0)+IF(RIGHT('班次明細'!O56,2)="炸區",IF(AND('班次明細'!L56&gt;0,'班次明細'!G56&lt;=B47,'班次明細'!H56&gt;=C47),1,0),0)+IF(RIGHT('班次明細'!O63,2)="炸區",IF(AND('班次明細'!L63&gt;0,'班次明細'!G63&lt;=B47,'班次明細'!H63&gt;=C47),1,0),0)+IF(RIGHT('班次明細'!O70,2)="炸區",IF(AND('班次明細'!L70&gt;0,'班次明細'!G70&lt;=B47,'班次明細'!H70&gt;=C47),1,0),0)+IF(RIGHT('班次明細'!O77,2)="炸區",IF(AND('班次明細'!L77&gt;0,'班次明細'!G77&lt;=B47,'班次明細'!H77&gt;=C47),1,0),0))&gt;0,0,1)</x:f>
        <x:v>0</x:v>
      </x:c>
      <x:c r="K47" s="11" t="str">
        <x:v>P02:炸區；P03:吧台；P06:料區；P07:外場；P09:司爐</x:v>
      </x:c>
      <x:c r="L47" s="11" t="str">
        <x:f>IF(OR(H47&gt;0,I47&gt;0,J47&gt;0),"缺口／超額待處理","主崗齊；休息待現場")</x:f>
        <x:v>主崗齊；休息待現場</x:v>
      </x:c>
    </x:row>
    <x:row r="48" ht="42" customHeight="1">
      <x:c r="A48" s="12" t="n">
        <x:v>46315</x:v>
      </x:c>
      <x:c r="B48" s="13" t="n">
        <x:v>0.7916666666666666</x:v>
      </x:c>
      <x:c r="C48" s="13" t="n">
        <x:v>0.8125</x:v>
      </x:c>
      <x:c r="D48" s="2" t="str">
        <x:v>晚餐主崗</x:v>
      </x:c>
      <x:c r="E48" s="2" t="n">
        <x:v>5</x:v>
      </x:c>
      <x:c r="F48" s="2" t="n">
        <x:v>5</x:v>
      </x:c>
      <x:c r="G48" s="2" t="n">
        <x:f>IF(AND('班次明細'!L7&gt;0,'班次明細'!G7&lt;=B48,'班次明細'!H7&gt;=C48),1,0)+IF(AND('班次明細'!L14&gt;0,'班次明細'!G14&lt;=B48,'班次明細'!H14&gt;=C48),1,0)+IF(AND('班次明細'!L21&gt;0,'班次明細'!G21&lt;=B48,'班次明細'!H21&gt;=C48),1,0)+IF(AND('班次明細'!L28&gt;0,'班次明細'!G28&lt;=B48,'班次明細'!H28&gt;=C48),1,0)+IF(AND('班次明細'!L35&gt;0,'班次明細'!G35&lt;=B48,'班次明細'!H35&gt;=C48),1,0)+IF(AND('班次明細'!L42&gt;0,'班次明細'!G42&lt;=B48,'班次明細'!H42&gt;=C48),1,0)+IF(AND('班次明細'!L49&gt;0,'班次明細'!G49&lt;=B48,'班次明細'!H49&gt;=C48),1,0)+IF(AND('班次明細'!L56&gt;0,'班次明細'!G56&lt;=B48,'班次明細'!H56&gt;=C48),1,0)+IF(AND('班次明細'!L63&gt;0,'班次明細'!G63&lt;=B48,'班次明細'!H63&gt;=C48),1,0)+IF(AND('班次明細'!L70&gt;0,'班次明細'!G70&lt;=B48,'班次明細'!H70&gt;=C48),1,0)+IF(AND('班次明細'!L77&gt;0,'班次明細'!G77&lt;=B48,'班次明細'!H77&gt;=C48),1,0)</x:f>
        <x:v>5</x:v>
      </x:c>
      <x:c r="H48" s="2" t="n">
        <x:f>MAX(0,E48-G48)</x:f>
        <x:v>0</x:v>
      </x:c>
      <x:c r="I48" s="2" t="n">
        <x:f>IF(F48="",0,MAX(0,G48-F48))</x:f>
        <x:v>0</x:v>
      </x:c>
      <x:c r="J48" s="2" t="n">
        <x:f>IF((IF(RIGHT('班次明細'!O7,2)="外場",IF(AND('班次明細'!L7&gt;0,'班次明細'!G7&lt;=B48,'班次明細'!H7&gt;=C48),1,0),0)+IF(RIGHT('班次明細'!O14,2)="外場",IF(AND('班次明細'!L14&gt;0,'班次明細'!G14&lt;=B48,'班次明細'!H14&gt;=C48),1,0),0)+IF(RIGHT('班次明細'!O21,2)="外場",IF(AND('班次明細'!L21&gt;0,'班次明細'!G21&lt;=B48,'班次明細'!H21&gt;=C48),1,0),0)+IF(RIGHT('班次明細'!O28,2)="外場",IF(AND('班次明細'!L28&gt;0,'班次明細'!G28&lt;=B48,'班次明細'!H28&gt;=C48),1,0),0)+IF(RIGHT('班次明細'!O35,2)="外場",IF(AND('班次明細'!L35&gt;0,'班次明細'!G35&lt;=B48,'班次明細'!H35&gt;=C48),1,0),0)+IF(RIGHT('班次明細'!O42,2)="外場",IF(AND('班次明細'!L42&gt;0,'班次明細'!G42&lt;=B48,'班次明細'!H42&gt;=C48),1,0),0)+IF(RIGHT('班次明細'!O49,2)="外場",IF(AND('班次明細'!L49&gt;0,'班次明細'!G49&lt;=B48,'班次明細'!H49&gt;=C48),1,0),0)+IF(RIGHT('班次明細'!O56,2)="外場",IF(AND('班次明細'!L56&gt;0,'班次明細'!G56&lt;=B48,'班次明細'!H56&gt;=C48),1,0),0)+IF(RIGHT('班次明細'!O63,2)="外場",IF(AND('班次明細'!L63&gt;0,'班次明細'!G63&lt;=B48,'班次明細'!H63&gt;=C48),1,0),0)+IF(RIGHT('班次明細'!O70,2)="外場",IF(AND('班次明細'!L70&gt;0,'班次明細'!G70&lt;=B48,'班次明細'!H70&gt;=C48),1,0),0)+IF(RIGHT('班次明細'!O77,2)="外場",IF(AND('班次明細'!L77&gt;0,'班次明細'!G77&lt;=B48,'班次明細'!H77&gt;=C48),1,0),0))&gt;0,0,1)+IF((IF(RIGHT('班次明細'!O7,2)="吧台",IF(AND('班次明細'!L7&gt;0,'班次明細'!G7&lt;=B48,'班次明細'!H7&gt;=C48),1,0),0)+IF(RIGHT('班次明細'!O14,2)="吧台",IF(AND('班次明細'!L14&gt;0,'班次明細'!G14&lt;=B48,'班次明細'!H14&gt;=C48),1,0),0)+IF(RIGHT('班次明細'!O21,2)="吧台",IF(AND('班次明細'!L21&gt;0,'班次明細'!G21&lt;=B48,'班次明細'!H21&gt;=C48),1,0),0)+IF(RIGHT('班次明細'!O28,2)="吧台",IF(AND('班次明細'!L28&gt;0,'班次明細'!G28&lt;=B48,'班次明細'!H28&gt;=C48),1,0),0)+IF(RIGHT('班次明細'!O35,2)="吧台",IF(AND('班次明細'!L35&gt;0,'班次明細'!G35&lt;=B48,'班次明細'!H35&gt;=C48),1,0),0)+IF(RIGHT('班次明細'!O42,2)="吧台",IF(AND('班次明細'!L42&gt;0,'班次明細'!G42&lt;=B48,'班次明細'!H42&gt;=C48),1,0),0)+IF(RIGHT('班次明細'!O49,2)="吧台",IF(AND('班次明細'!L49&gt;0,'班次明細'!G49&lt;=B48,'班次明細'!H49&gt;=C48),1,0),0)+IF(RIGHT('班次明細'!O56,2)="吧台",IF(AND('班次明細'!L56&gt;0,'班次明細'!G56&lt;=B48,'班次明細'!H56&gt;=C48),1,0),0)+IF(RIGHT('班次明細'!O63,2)="吧台",IF(AND('班次明細'!L63&gt;0,'班次明細'!G63&lt;=B48,'班次明細'!H63&gt;=C48),1,0),0)+IF(RIGHT('班次明細'!O70,2)="吧台",IF(AND('班次明細'!L70&gt;0,'班次明細'!G70&lt;=B48,'班次明細'!H70&gt;=C48),1,0),0)+IF(RIGHT('班次明細'!O77,2)="吧台",IF(AND('班次明細'!L77&gt;0,'班次明細'!G77&lt;=B48,'班次明細'!H77&gt;=C48),1,0),0))&gt;0,0,1)+IF((IF(RIGHT('班次明細'!O7,2)="司爐",IF(AND('班次明細'!L7&gt;0,'班次明細'!G7&lt;=B48,'班次明細'!H7&gt;=C48),1,0),0)+IF(RIGHT('班次明細'!O14,2)="司爐",IF(AND('班次明細'!L14&gt;0,'班次明細'!G14&lt;=B48,'班次明細'!H14&gt;=C48),1,0),0)+IF(RIGHT('班次明細'!O21,2)="司爐",IF(AND('班次明細'!L21&gt;0,'班次明細'!G21&lt;=B48,'班次明細'!H21&gt;=C48),1,0),0)+IF(RIGHT('班次明細'!O28,2)="司爐",IF(AND('班次明細'!L28&gt;0,'班次明細'!G28&lt;=B48,'班次明細'!H28&gt;=C48),1,0),0)+IF(RIGHT('班次明細'!O35,2)="司爐",IF(AND('班次明細'!L35&gt;0,'班次明細'!G35&lt;=B48,'班次明細'!H35&gt;=C48),1,0),0)+IF(RIGHT('班次明細'!O42,2)="司爐",IF(AND('班次明細'!L42&gt;0,'班次明細'!G42&lt;=B48,'班次明細'!H42&gt;=C48),1,0),0)+IF(RIGHT('班次明細'!O49,2)="司爐",IF(AND('班次明細'!L49&gt;0,'班次明細'!G49&lt;=B48,'班次明細'!H49&gt;=C48),1,0),0)+IF(RIGHT('班次明細'!O56,2)="司爐",IF(AND('班次明細'!L56&gt;0,'班次明細'!G56&lt;=B48,'班次明細'!H56&gt;=C48),1,0),0)+IF(RIGHT('班次明細'!O63,2)="司爐",IF(AND('班次明細'!L63&gt;0,'班次明細'!G63&lt;=B48,'班次明細'!H63&gt;=C48),1,0),0)+IF(RIGHT('班次明細'!O70,2)="司爐",IF(AND('班次明細'!L70&gt;0,'班次明細'!G70&lt;=B48,'班次明細'!H70&gt;=C48),1,0),0)+IF(RIGHT('班次明細'!O77,2)="司爐",IF(AND('班次明細'!L77&gt;0,'班次明細'!G77&lt;=B48,'班次明細'!H77&gt;=C48),1,0),0))&gt;0,0,1)+IF((IF(RIGHT('班次明細'!O7,2)="料區",IF(AND('班次明細'!L7&gt;0,'班次明細'!G7&lt;=B48,'班次明細'!H7&gt;=C48),1,0),0)+IF(RIGHT('班次明細'!O14,2)="料區",IF(AND('班次明細'!L14&gt;0,'班次明細'!G14&lt;=B48,'班次明細'!H14&gt;=C48),1,0),0)+IF(RIGHT('班次明細'!O21,2)="料區",IF(AND('班次明細'!L21&gt;0,'班次明細'!G21&lt;=B48,'班次明細'!H21&gt;=C48),1,0),0)+IF(RIGHT('班次明細'!O28,2)="料區",IF(AND('班次明細'!L28&gt;0,'班次明細'!G28&lt;=B48,'班次明細'!H28&gt;=C48),1,0),0)+IF(RIGHT('班次明細'!O35,2)="料區",IF(AND('班次明細'!L35&gt;0,'班次明細'!G35&lt;=B48,'班次明細'!H35&gt;=C48),1,0),0)+IF(RIGHT('班次明細'!O42,2)="料區",IF(AND('班次明細'!L42&gt;0,'班次明細'!G42&lt;=B48,'班次明細'!H42&gt;=C48),1,0),0)+IF(RIGHT('班次明細'!O49,2)="料區",IF(AND('班次明細'!L49&gt;0,'班次明細'!G49&lt;=B48,'班次明細'!H49&gt;=C48),1,0),0)+IF(RIGHT('班次明細'!O56,2)="料區",IF(AND('班次明細'!L56&gt;0,'班次明細'!G56&lt;=B48,'班次明細'!H56&gt;=C48),1,0),0)+IF(RIGHT('班次明細'!O63,2)="料區",IF(AND('班次明細'!L63&gt;0,'班次明細'!G63&lt;=B48,'班次明細'!H63&gt;=C48),1,0),0)+IF(RIGHT('班次明細'!O70,2)="料區",IF(AND('班次明細'!L70&gt;0,'班次明細'!G70&lt;=B48,'班次明細'!H70&gt;=C48),1,0),0)+IF(RIGHT('班次明細'!O77,2)="料區",IF(AND('班次明細'!L77&gt;0,'班次明細'!G77&lt;=B48,'班次明細'!H77&gt;=C48),1,0),0))&gt;0,0,1)+IF((IF(RIGHT('班次明細'!O7,2)="炸區",IF(AND('班次明細'!L7&gt;0,'班次明細'!G7&lt;=B48,'班次明細'!H7&gt;=C48),1,0),0)+IF(RIGHT('班次明細'!O14,2)="炸區",IF(AND('班次明細'!L14&gt;0,'班次明細'!G14&lt;=B48,'班次明細'!H14&gt;=C48),1,0),0)+IF(RIGHT('班次明細'!O21,2)="炸區",IF(AND('班次明細'!L21&gt;0,'班次明細'!G21&lt;=B48,'班次明細'!H21&gt;=C48),1,0),0)+IF(RIGHT('班次明細'!O28,2)="炸區",IF(AND('班次明細'!L28&gt;0,'班次明細'!G28&lt;=B48,'班次明細'!H28&gt;=C48),1,0),0)+IF(RIGHT('班次明細'!O35,2)="炸區",IF(AND('班次明細'!L35&gt;0,'班次明細'!G35&lt;=B48,'班次明細'!H35&gt;=C48),1,0),0)+IF(RIGHT('班次明細'!O42,2)="炸區",IF(AND('班次明細'!L42&gt;0,'班次明細'!G42&lt;=B48,'班次明細'!H42&gt;=C48),1,0),0)+IF(RIGHT('班次明細'!O49,2)="炸區",IF(AND('班次明細'!L49&gt;0,'班次明細'!G49&lt;=B48,'班次明細'!H49&gt;=C48),1,0),0)+IF(RIGHT('班次明細'!O56,2)="炸區",IF(AND('班次明細'!L56&gt;0,'班次明細'!G56&lt;=B48,'班次明細'!H56&gt;=C48),1,0),0)+IF(RIGHT('班次明細'!O63,2)="炸區",IF(AND('班次明細'!L63&gt;0,'班次明細'!G63&lt;=B48,'班次明細'!H63&gt;=C48),1,0),0)+IF(RIGHT('班次明細'!O70,2)="炸區",IF(AND('班次明細'!L70&gt;0,'班次明細'!G70&lt;=B48,'班次明細'!H70&gt;=C48),1,0),0)+IF(RIGHT('班次明細'!O77,2)="炸區",IF(AND('班次明細'!L77&gt;0,'班次明細'!G77&lt;=B48,'班次明細'!H77&gt;=C48),1,0),0))&gt;0,0,1)</x:f>
        <x:v>0</x:v>
      </x:c>
      <x:c r="K48" s="11" t="str">
        <x:v>P02:炸區；P03:吧台；P06:料區；P07:外場；P09:司爐</x:v>
      </x:c>
      <x:c r="L48" s="11" t="str">
        <x:f>IF(OR(H48&gt;0,I48&gt;0,J48&gt;0),"缺口／超額待處理","主崗齊；休息待現場")</x:f>
        <x:v>主崗齊；休息待現場</x:v>
      </x:c>
    </x:row>
    <x:row r="49" ht="42" customHeight="1">
      <x:c r="A49" s="12" t="n">
        <x:v>46315</x:v>
      </x:c>
      <x:c r="B49" s="13" t="n">
        <x:v>0.8125</x:v>
      </x:c>
      <x:c r="C49" s="13" t="n">
        <x:v>0.8333333333333334</x:v>
      </x:c>
      <x:c r="D49" s="2" t="str">
        <x:v>營運參考</x:v>
      </x:c>
      <x:c r="E49" s="2" t="n">
        <x:v>0</x:v>
      </x:c>
      <x:c r="F49" s="2"/>
      <x:c r="G49" s="2" t="n">
        <x:f>IF(AND('班次明細'!L7&gt;0,'班次明細'!G7&lt;=B49,'班次明細'!H7&gt;=C49),1,0)+IF(AND('班次明細'!L14&gt;0,'班次明細'!G14&lt;=B49,'班次明細'!H14&gt;=C49),1,0)+IF(AND('班次明細'!L21&gt;0,'班次明細'!G21&lt;=B49,'班次明細'!H21&gt;=C49),1,0)+IF(AND('班次明細'!L28&gt;0,'班次明細'!G28&lt;=B49,'班次明細'!H28&gt;=C49),1,0)+IF(AND('班次明細'!L35&gt;0,'班次明細'!G35&lt;=B49,'班次明細'!H35&gt;=C49),1,0)+IF(AND('班次明細'!L42&gt;0,'班次明細'!G42&lt;=B49,'班次明細'!H42&gt;=C49),1,0)+IF(AND('班次明細'!L49&gt;0,'班次明細'!G49&lt;=B49,'班次明細'!H49&gt;=C49),1,0)+IF(AND('班次明細'!L56&gt;0,'班次明細'!G56&lt;=B49,'班次明細'!H56&gt;=C49),1,0)+IF(AND('班次明細'!L63&gt;0,'班次明細'!G63&lt;=B49,'班次明細'!H63&gt;=C49),1,0)+IF(AND('班次明細'!L70&gt;0,'班次明細'!G70&lt;=B49,'班次明細'!H70&gt;=C49),1,0)+IF(AND('班次明細'!L77&gt;0,'班次明細'!G77&lt;=B49,'班次明細'!H77&gt;=C49),1,0)</x:f>
        <x:v>5</x:v>
      </x:c>
      <x:c r="H49" s="2" t="n">
        <x:f>MAX(0,E49-G49)</x:f>
        <x:v>0</x:v>
      </x:c>
      <x:c r="I49" s="2" t="n">
        <x:f>IF(F49="",0,MAX(0,G49-F49))</x:f>
        <x:v>0</x:v>
      </x:c>
      <x:c r="J49" s="2" t="n">
        <x:v>0</x:v>
      </x:c>
      <x:c r="K49" s="11" t="str">
        <x:v>—</x:v>
      </x:c>
      <x:c r="L49" s="11" t="str">
        <x:f>"營運參考"</x:f>
        <x:v>營運參考</x:v>
      </x:c>
    </x:row>
    <x:row r="50" ht="42" customHeight="1">
      <x:c r="A50" s="12" t="n">
        <x:v>46315</x:v>
      </x:c>
      <x:c r="B50" s="13" t="n">
        <x:v>0.8333333333333334</x:v>
      </x:c>
      <x:c r="C50" s="13" t="n">
        <x:v>0.8541666666666666</x:v>
      </x:c>
      <x:c r="D50" s="2" t="str">
        <x:v>營運參考</x:v>
      </x:c>
      <x:c r="E50" s="2" t="n">
        <x:v>0</x:v>
      </x:c>
      <x:c r="F50" s="2"/>
      <x:c r="G50" s="2" t="n">
        <x:f>IF(AND('班次明細'!L7&gt;0,'班次明細'!G7&lt;=B50,'班次明細'!H7&gt;=C50),1,0)+IF(AND('班次明細'!L14&gt;0,'班次明細'!G14&lt;=B50,'班次明細'!H14&gt;=C50),1,0)+IF(AND('班次明細'!L21&gt;0,'班次明細'!G21&lt;=B50,'班次明細'!H21&gt;=C50),1,0)+IF(AND('班次明細'!L28&gt;0,'班次明細'!G28&lt;=B50,'班次明細'!H28&gt;=C50),1,0)+IF(AND('班次明細'!L35&gt;0,'班次明細'!G35&lt;=B50,'班次明細'!H35&gt;=C50),1,0)+IF(AND('班次明細'!L42&gt;0,'班次明細'!G42&lt;=B50,'班次明細'!H42&gt;=C50),1,0)+IF(AND('班次明細'!L49&gt;0,'班次明細'!G49&lt;=B50,'班次明細'!H49&gt;=C50),1,0)+IF(AND('班次明細'!L56&gt;0,'班次明細'!G56&lt;=B50,'班次明細'!H56&gt;=C50),1,0)+IF(AND('班次明細'!L63&gt;0,'班次明細'!G63&lt;=B50,'班次明細'!H63&gt;=C50),1,0)+IF(AND('班次明細'!L70&gt;0,'班次明細'!G70&lt;=B50,'班次明細'!H70&gt;=C50),1,0)+IF(AND('班次明細'!L77&gt;0,'班次明細'!G77&lt;=B50,'班次明細'!H77&gt;=C50),1,0)</x:f>
        <x:v>5</x:v>
      </x:c>
      <x:c r="H50" s="2" t="n">
        <x:f>MAX(0,E50-G50)</x:f>
        <x:v>0</x:v>
      </x:c>
      <x:c r="I50" s="2" t="n">
        <x:f>IF(F50="",0,MAX(0,G50-F50))</x:f>
        <x:v>0</x:v>
      </x:c>
      <x:c r="J50" s="2" t="n">
        <x:v>0</x:v>
      </x:c>
      <x:c r="K50" s="11" t="str">
        <x:v>—</x:v>
      </x:c>
      <x:c r="L50" s="11" t="str">
        <x:f>"營運參考"</x:f>
        <x:v>營運參考</x:v>
      </x:c>
    </x:row>
    <x:row r="51" ht="42" customHeight="1">
      <x:c r="A51" s="12" t="n">
        <x:v>46315</x:v>
      </x:c>
      <x:c r="B51" s="13" t="n">
        <x:v>0.8541666666666666</x:v>
      </x:c>
      <x:c r="C51" s="13" t="n">
        <x:v>0.875</x:v>
      </x:c>
      <x:c r="D51" s="2" t="str">
        <x:v>營運參考</x:v>
      </x:c>
      <x:c r="E51" s="2" t="n">
        <x:v>0</x:v>
      </x:c>
      <x:c r="F51" s="2"/>
      <x:c r="G51" s="2" t="n">
        <x:f>IF(AND('班次明細'!L7&gt;0,'班次明細'!G7&lt;=B51,'班次明細'!H7&gt;=C51),1,0)+IF(AND('班次明細'!L14&gt;0,'班次明細'!G14&lt;=B51,'班次明細'!H14&gt;=C51),1,0)+IF(AND('班次明細'!L21&gt;0,'班次明細'!G21&lt;=B51,'班次明細'!H21&gt;=C51),1,0)+IF(AND('班次明細'!L28&gt;0,'班次明細'!G28&lt;=B51,'班次明細'!H28&gt;=C51),1,0)+IF(AND('班次明細'!L35&gt;0,'班次明細'!G35&lt;=B51,'班次明細'!H35&gt;=C51),1,0)+IF(AND('班次明細'!L42&gt;0,'班次明細'!G42&lt;=B51,'班次明細'!H42&gt;=C51),1,0)+IF(AND('班次明細'!L49&gt;0,'班次明細'!G49&lt;=B51,'班次明細'!H49&gt;=C51),1,0)+IF(AND('班次明細'!L56&gt;0,'班次明細'!G56&lt;=B51,'班次明細'!H56&gt;=C51),1,0)+IF(AND('班次明細'!L63&gt;0,'班次明細'!G63&lt;=B51,'班次明細'!H63&gt;=C51),1,0)+IF(AND('班次明細'!L70&gt;0,'班次明細'!G70&lt;=B51,'班次明細'!H70&gt;=C51),1,0)+IF(AND('班次明細'!L77&gt;0,'班次明細'!G77&lt;=B51,'班次明細'!H77&gt;=C51),1,0)</x:f>
        <x:v>5</x:v>
      </x:c>
      <x:c r="H51" s="2" t="n">
        <x:f>MAX(0,E51-G51)</x:f>
        <x:v>0</x:v>
      </x:c>
      <x:c r="I51" s="2" t="n">
        <x:f>IF(F51="",0,MAX(0,G51-F51))</x:f>
        <x:v>0</x:v>
      </x:c>
      <x:c r="J51" s="2" t="n">
        <x:v>0</x:v>
      </x:c>
      <x:c r="K51" s="11" t="str">
        <x:v>—</x:v>
      </x:c>
      <x:c r="L51" s="11" t="str">
        <x:f>"營運參考"</x:f>
        <x:v>營運參考</x:v>
      </x:c>
    </x:row>
    <x:row r="52" ht="42" customHeight="1">
      <x:c r="A52" s="12" t="n">
        <x:v>46315</x:v>
      </x:c>
      <x:c r="B52" s="13" t="n">
        <x:v>0.875</x:v>
      </x:c>
      <x:c r="C52" s="13" t="n">
        <x:v>0.8958333333333334</x:v>
      </x:c>
      <x:c r="D52" s="2" t="str">
        <x:v>營運參考</x:v>
      </x:c>
      <x:c r="E52" s="2" t="n">
        <x:v>0</x:v>
      </x:c>
      <x:c r="F52" s="2"/>
      <x:c r="G52" s="2" t="n">
        <x:f>IF(AND('班次明細'!L7&gt;0,'班次明細'!G7&lt;=B52,'班次明細'!H7&gt;=C52),1,0)+IF(AND('班次明細'!L14&gt;0,'班次明細'!G14&lt;=B52,'班次明細'!H14&gt;=C52),1,0)+IF(AND('班次明細'!L21&gt;0,'班次明細'!G21&lt;=B52,'班次明細'!H21&gt;=C52),1,0)+IF(AND('班次明細'!L28&gt;0,'班次明細'!G28&lt;=B52,'班次明細'!H28&gt;=C52),1,0)+IF(AND('班次明細'!L35&gt;0,'班次明細'!G35&lt;=B52,'班次明細'!H35&gt;=C52),1,0)+IF(AND('班次明細'!L42&gt;0,'班次明細'!G42&lt;=B52,'班次明細'!H42&gt;=C52),1,0)+IF(AND('班次明細'!L49&gt;0,'班次明細'!G49&lt;=B52,'班次明細'!H49&gt;=C52),1,0)+IF(AND('班次明細'!L56&gt;0,'班次明細'!G56&lt;=B52,'班次明細'!H56&gt;=C52),1,0)+IF(AND('班次明細'!L63&gt;0,'班次明細'!G63&lt;=B52,'班次明細'!H63&gt;=C52),1,0)+IF(AND('班次明細'!L70&gt;0,'班次明細'!G70&lt;=B52,'班次明細'!H70&gt;=C52),1,0)+IF(AND('班次明細'!L77&gt;0,'班次明細'!G77&lt;=B52,'班次明細'!H77&gt;=C52),1,0)</x:f>
        <x:v>4</x:v>
      </x:c>
      <x:c r="H52" s="2" t="n">
        <x:f>MAX(0,E52-G52)</x:f>
        <x:v>0</x:v>
      </x:c>
      <x:c r="I52" s="2" t="n">
        <x:f>IF(F52="",0,MAX(0,G52-F52))</x:f>
        <x:v>0</x:v>
      </x:c>
      <x:c r="J52" s="2" t="n">
        <x:v>0</x:v>
      </x:c>
      <x:c r="K52" s="11" t="str">
        <x:v>—</x:v>
      </x:c>
      <x:c r="L52" s="11" t="str">
        <x:f>"營運參考"</x:f>
        <x:v>營運參考</x:v>
      </x:c>
    </x:row>
    <x:row r="53" ht="42" customHeight="1">
      <x:c r="A53" s="12" t="n">
        <x:v>46315</x:v>
      </x:c>
      <x:c r="B53" s="13" t="n">
        <x:v>0.8958333333333334</x:v>
      </x:c>
      <x:c r="C53" s="13" t="n">
        <x:v>0.9166666666666666</x:v>
      </x:c>
      <x:c r="D53" s="2" t="str">
        <x:v>營運參考</x:v>
      </x:c>
      <x:c r="E53" s="2" t="n">
        <x:v>0</x:v>
      </x:c>
      <x:c r="F53" s="2"/>
      <x:c r="G53" s="2" t="n">
        <x:f>IF(AND('班次明細'!L7&gt;0,'班次明細'!G7&lt;=B53,'班次明細'!H7&gt;=C53),1,0)+IF(AND('班次明細'!L14&gt;0,'班次明細'!G14&lt;=B53,'班次明細'!H14&gt;=C53),1,0)+IF(AND('班次明細'!L21&gt;0,'班次明細'!G21&lt;=B53,'班次明細'!H21&gt;=C53),1,0)+IF(AND('班次明細'!L28&gt;0,'班次明細'!G28&lt;=B53,'班次明細'!H28&gt;=C53),1,0)+IF(AND('班次明細'!L35&gt;0,'班次明細'!G35&lt;=B53,'班次明細'!H35&gt;=C53),1,0)+IF(AND('班次明細'!L42&gt;0,'班次明細'!G42&lt;=B53,'班次明細'!H42&gt;=C53),1,0)+IF(AND('班次明細'!L49&gt;0,'班次明細'!G49&lt;=B53,'班次明細'!H49&gt;=C53),1,0)+IF(AND('班次明細'!L56&gt;0,'班次明細'!G56&lt;=B53,'班次明細'!H56&gt;=C53),1,0)+IF(AND('班次明細'!L63&gt;0,'班次明細'!G63&lt;=B53,'班次明細'!H63&gt;=C53),1,0)+IF(AND('班次明細'!L70&gt;0,'班次明細'!G70&lt;=B53,'班次明細'!H70&gt;=C53),1,0)+IF(AND('班次明細'!L77&gt;0,'班次明細'!G77&lt;=B53,'班次明細'!H77&gt;=C53),1,0)</x:f>
        <x:v>2</x:v>
      </x:c>
      <x:c r="H53" s="2" t="n">
        <x:f>MAX(0,E53-G53)</x:f>
        <x:v>0</x:v>
      </x:c>
      <x:c r="I53" s="2" t="n">
        <x:f>IF(F53="",0,MAX(0,G53-F53))</x:f>
        <x:v>0</x:v>
      </x:c>
      <x:c r="J53" s="2" t="n">
        <x:v>0</x:v>
      </x:c>
      <x:c r="K53" s="11" t="str">
        <x:v>—</x:v>
      </x:c>
      <x:c r="L53" s="11" t="str">
        <x:f>"營運參考"</x:f>
        <x:v>營運參考</x:v>
      </x:c>
    </x:row>
    <x:row r="54" ht="42" customHeight="1">
      <x:c r="A54" s="12" t="n">
        <x:v>46316</x:v>
      </x:c>
      <x:c r="B54" s="13" t="n">
        <x:v>0.4166666666666667</x:v>
      </x:c>
      <x:c r="C54" s="13" t="n">
        <x:v>0.4375</x:v>
      </x:c>
      <x:c r="D54" s="2" t="str">
        <x:v>營運參考</x:v>
      </x:c>
      <x:c r="E54" s="2" t="n">
        <x:v>2</x:v>
      </x:c>
      <x:c r="F54" s="2"/>
      <x:c r="G54" s="2" t="n">
        <x:f>IF(AND('班次明細'!L8&gt;0,'班次明細'!G8&lt;=B54,'班次明細'!H8&gt;=C54),1,0)+IF(AND('班次明細'!L15&gt;0,'班次明細'!G15&lt;=B54,'班次明細'!H15&gt;=C54),1,0)+IF(AND('班次明細'!L22&gt;0,'班次明細'!G22&lt;=B54,'班次明細'!H22&gt;=C54),1,0)+IF(AND('班次明細'!L29&gt;0,'班次明細'!G29&lt;=B54,'班次明細'!H29&gt;=C54),1,0)+IF(AND('班次明細'!L36&gt;0,'班次明細'!G36&lt;=B54,'班次明細'!H36&gt;=C54),1,0)+IF(AND('班次明細'!L43&gt;0,'班次明細'!G43&lt;=B54,'班次明細'!H43&gt;=C54),1,0)+IF(AND('班次明細'!L50&gt;0,'班次明細'!G50&lt;=B54,'班次明細'!H50&gt;=C54),1,0)+IF(AND('班次明細'!L57&gt;0,'班次明細'!G57&lt;=B54,'班次明細'!H57&gt;=C54),1,0)+IF(AND('班次明細'!L64&gt;0,'班次明細'!G64&lt;=B54,'班次明細'!H64&gt;=C54),1,0)+IF(AND('班次明細'!L71&gt;0,'班次明細'!G71&lt;=B54,'班次明細'!H71&gt;=C54),1,0)+IF(AND('班次明細'!L78&gt;0,'班次明細'!G78&lt;=B54,'班次明細'!H78&gt;=C54),1,0)</x:f>
        <x:v>1</x:v>
      </x:c>
      <x:c r="H54" s="2" t="n">
        <x:f>MAX(0,E54-G54)</x:f>
        <x:v>1</x:v>
      </x:c>
      <x:c r="I54" s="2" t="n">
        <x:f>IF(F54="",0,MAX(0,G54-F54))</x:f>
        <x:v>0</x:v>
      </x:c>
      <x:c r="J54" s="2" t="n">
        <x:v>0</x:v>
      </x:c>
      <x:c r="K54" s="11" t="str">
        <x:v>—</x:v>
      </x:c>
      <x:c r="L54" s="11" t="str">
        <x:f>"營運參考"</x:f>
        <x:v>營運參考</x:v>
      </x:c>
    </x:row>
    <x:row r="55" ht="42" customHeight="1">
      <x:c r="A55" s="12" t="n">
        <x:v>46316</x:v>
      </x:c>
      <x:c r="B55" s="13" t="n">
        <x:v>0.4375</x:v>
      </x:c>
      <x:c r="C55" s="13" t="n">
        <x:v>0.4583333333333333</x:v>
      </x:c>
      <x:c r="D55" s="2" t="str">
        <x:v>營運參考</x:v>
      </x:c>
      <x:c r="E55" s="2" t="n">
        <x:v>2</x:v>
      </x:c>
      <x:c r="F55" s="2"/>
      <x:c r="G55" s="2" t="n">
        <x:f>IF(AND('班次明細'!L8&gt;0,'班次明細'!G8&lt;=B55,'班次明細'!H8&gt;=C55),1,0)+IF(AND('班次明細'!L15&gt;0,'班次明細'!G15&lt;=B55,'班次明細'!H15&gt;=C55),1,0)+IF(AND('班次明細'!L22&gt;0,'班次明細'!G22&lt;=B55,'班次明細'!H22&gt;=C55),1,0)+IF(AND('班次明細'!L29&gt;0,'班次明細'!G29&lt;=B55,'班次明細'!H29&gt;=C55),1,0)+IF(AND('班次明細'!L36&gt;0,'班次明細'!G36&lt;=B55,'班次明細'!H36&gt;=C55),1,0)+IF(AND('班次明細'!L43&gt;0,'班次明細'!G43&lt;=B55,'班次明細'!H43&gt;=C55),1,0)+IF(AND('班次明細'!L50&gt;0,'班次明細'!G50&lt;=B55,'班次明細'!H50&gt;=C55),1,0)+IF(AND('班次明細'!L57&gt;0,'班次明細'!G57&lt;=B55,'班次明細'!H57&gt;=C55),1,0)+IF(AND('班次明細'!L64&gt;0,'班次明細'!G64&lt;=B55,'班次明細'!H64&gt;=C55),1,0)+IF(AND('班次明細'!L71&gt;0,'班次明細'!G71&lt;=B55,'班次明細'!H71&gt;=C55),1,0)+IF(AND('班次明細'!L78&gt;0,'班次明細'!G78&lt;=B55,'班次明細'!H78&gt;=C55),1,0)</x:f>
        <x:v>1</x:v>
      </x:c>
      <x:c r="H55" s="2" t="n">
        <x:f>MAX(0,E55-G55)</x:f>
        <x:v>1</x:v>
      </x:c>
      <x:c r="I55" s="2" t="n">
        <x:f>IF(F55="",0,MAX(0,G55-F55))</x:f>
        <x:v>0</x:v>
      </x:c>
      <x:c r="J55" s="2" t="n">
        <x:v>0</x:v>
      </x:c>
      <x:c r="K55" s="11" t="str">
        <x:v>—</x:v>
      </x:c>
      <x:c r="L55" s="11" t="str">
        <x:f>"營運參考"</x:f>
        <x:v>營運參考</x:v>
      </x:c>
    </x:row>
    <x:row r="56" ht="42" customHeight="1">
      <x:c r="A56" s="12" t="n">
        <x:v>46316</x:v>
      </x:c>
      <x:c r="B56" s="13" t="n">
        <x:v>0.4583333333333333</x:v>
      </x:c>
      <x:c r="C56" s="13" t="n">
        <x:v>0.4791666666666667</x:v>
      </x:c>
      <x:c r="D56" s="2" t="str">
        <x:v>營運參考</x:v>
      </x:c>
      <x:c r="E56" s="2" t="n">
        <x:v>0</x:v>
      </x:c>
      <x:c r="F56" s="2"/>
      <x:c r="G56" s="2" t="n">
        <x:f>IF(AND('班次明細'!L8&gt;0,'班次明細'!G8&lt;=B56,'班次明細'!H8&gt;=C56),1,0)+IF(AND('班次明細'!L15&gt;0,'班次明細'!G15&lt;=B56,'班次明細'!H15&gt;=C56),1,0)+IF(AND('班次明細'!L22&gt;0,'班次明細'!G22&lt;=B56,'班次明細'!H22&gt;=C56),1,0)+IF(AND('班次明細'!L29&gt;0,'班次明細'!G29&lt;=B56,'班次明細'!H29&gt;=C56),1,0)+IF(AND('班次明細'!L36&gt;0,'班次明細'!G36&lt;=B56,'班次明細'!H36&gt;=C56),1,0)+IF(AND('班次明細'!L43&gt;0,'班次明細'!G43&lt;=B56,'班次明細'!H43&gt;=C56),1,0)+IF(AND('班次明細'!L50&gt;0,'班次明細'!G50&lt;=B56,'班次明細'!H50&gt;=C56),1,0)+IF(AND('班次明細'!L57&gt;0,'班次明細'!G57&lt;=B56,'班次明細'!H57&gt;=C56),1,0)+IF(AND('班次明細'!L64&gt;0,'班次明細'!G64&lt;=B56,'班次明細'!H64&gt;=C56),1,0)+IF(AND('班次明細'!L71&gt;0,'班次明細'!G71&lt;=B56,'班次明細'!H71&gt;=C56),1,0)+IF(AND('班次明細'!L78&gt;0,'班次明細'!G78&lt;=B56,'班次明細'!H78&gt;=C56),1,0)</x:f>
        <x:v>3</x:v>
      </x:c>
      <x:c r="H56" s="2" t="n">
        <x:f>MAX(0,E56-G56)</x:f>
        <x:v>0</x:v>
      </x:c>
      <x:c r="I56" s="2" t="n">
        <x:f>IF(F56="",0,MAX(0,G56-F56))</x:f>
        <x:v>0</x:v>
      </x:c>
      <x:c r="J56" s="2" t="n">
        <x:v>0</x:v>
      </x:c>
      <x:c r="K56" s="11" t="str">
        <x:v>—</x:v>
      </x:c>
      <x:c r="L56" s="11" t="str">
        <x:f>"營運參考"</x:f>
        <x:v>營運參考</x:v>
      </x:c>
    </x:row>
    <x:row r="57" ht="42" customHeight="1">
      <x:c r="A57" s="12" t="n">
        <x:v>46316</x:v>
      </x:c>
      <x:c r="B57" s="13" t="n">
        <x:v>0.4791666666666667</x:v>
      </x:c>
      <x:c r="C57" s="13" t="n">
        <x:v>0.5</x:v>
      </x:c>
      <x:c r="D57" s="2" t="str">
        <x:v>營運參考</x:v>
      </x:c>
      <x:c r="E57" s="2" t="n">
        <x:v>0</x:v>
      </x:c>
      <x:c r="F57" s="2"/>
      <x:c r="G57" s="2" t="n">
        <x:f>IF(AND('班次明細'!L8&gt;0,'班次明細'!G8&lt;=B57,'班次明細'!H8&gt;=C57),1,0)+IF(AND('班次明細'!L15&gt;0,'班次明細'!G15&lt;=B57,'班次明細'!H15&gt;=C57),1,0)+IF(AND('班次明細'!L22&gt;0,'班次明細'!G22&lt;=B57,'班次明細'!H22&gt;=C57),1,0)+IF(AND('班次明細'!L29&gt;0,'班次明細'!G29&lt;=B57,'班次明細'!H29&gt;=C57),1,0)+IF(AND('班次明細'!L36&gt;0,'班次明細'!G36&lt;=B57,'班次明細'!H36&gt;=C57),1,0)+IF(AND('班次明細'!L43&gt;0,'班次明細'!G43&lt;=B57,'班次明細'!H43&gt;=C57),1,0)+IF(AND('班次明細'!L50&gt;0,'班次明細'!G50&lt;=B57,'班次明細'!H50&gt;=C57),1,0)+IF(AND('班次明細'!L57&gt;0,'班次明細'!G57&lt;=B57,'班次明細'!H57&gt;=C57),1,0)+IF(AND('班次明細'!L64&gt;0,'班次明細'!G64&lt;=B57,'班次明細'!H64&gt;=C57),1,0)+IF(AND('班次明細'!L71&gt;0,'班次明細'!G71&lt;=B57,'班次明細'!H71&gt;=C57),1,0)+IF(AND('班次明細'!L78&gt;0,'班次明細'!G78&lt;=B57,'班次明細'!H78&gt;=C57),1,0)</x:f>
        <x:v>5</x:v>
      </x:c>
      <x:c r="H57" s="2" t="n">
        <x:f>MAX(0,E57-G57)</x:f>
        <x:v>0</x:v>
      </x:c>
      <x:c r="I57" s="2" t="n">
        <x:f>IF(F57="",0,MAX(0,G57-F57))</x:f>
        <x:v>0</x:v>
      </x:c>
      <x:c r="J57" s="2" t="n">
        <x:v>0</x:v>
      </x:c>
      <x:c r="K57" s="11" t="str">
        <x:v>—</x:v>
      </x:c>
      <x:c r="L57" s="11" t="str">
        <x:f>"營運參考"</x:f>
        <x:v>營運參考</x:v>
      </x:c>
    </x:row>
    <x:row r="58" ht="42" customHeight="1">
      <x:c r="A58" s="12" t="n">
        <x:v>46316</x:v>
      </x:c>
      <x:c r="B58" s="13" t="n">
        <x:v>0.5</x:v>
      </x:c>
      <x:c r="C58" s="13" t="n">
        <x:v>0.5208333333333334</x:v>
      </x:c>
      <x:c r="D58" s="2" t="str">
        <x:v>午餐主崗</x:v>
      </x:c>
      <x:c r="E58" s="2" t="n">
        <x:v>4</x:v>
      </x:c>
      <x:c r="F58" s="2" t="n">
        <x:v>4</x:v>
      </x:c>
      <x:c r="G58" s="2" t="n">
        <x:f>IF(AND('班次明細'!L8&gt;0,'班次明細'!G8&lt;=B58,'班次明細'!H8&gt;=C58),1,0)+IF(AND('班次明細'!L15&gt;0,'班次明細'!G15&lt;=B58,'班次明細'!H15&gt;=C58),1,0)+IF(AND('班次明細'!L22&gt;0,'班次明細'!G22&lt;=B58,'班次明細'!H22&gt;=C58),1,0)+IF(AND('班次明細'!L29&gt;0,'班次明細'!G29&lt;=B58,'班次明細'!H29&gt;=C58),1,0)+IF(AND('班次明細'!L36&gt;0,'班次明細'!G36&lt;=B58,'班次明細'!H36&gt;=C58),1,0)+IF(AND('班次明細'!L43&gt;0,'班次明細'!G43&lt;=B58,'班次明細'!H43&gt;=C58),1,0)+IF(AND('班次明細'!L50&gt;0,'班次明細'!G50&lt;=B58,'班次明細'!H50&gt;=C58),1,0)+IF(AND('班次明細'!L57&gt;0,'班次明細'!G57&lt;=B58,'班次明細'!H57&gt;=C58),1,0)+IF(AND('班次明細'!L64&gt;0,'班次明細'!G64&lt;=B58,'班次明細'!H64&gt;=C58),1,0)+IF(AND('班次明細'!L71&gt;0,'班次明細'!G71&lt;=B58,'班次明細'!H71&gt;=C58),1,0)+IF(AND('班次明細'!L78&gt;0,'班次明細'!G78&lt;=B58,'班次明細'!H78&gt;=C58),1,0)</x:f>
        <x:v>5</x:v>
      </x:c>
      <x:c r="H58" s="2" t="n">
        <x:f>MAX(0,E58-G58)</x:f>
        <x:v>0</x:v>
      </x:c>
      <x:c r="I58" s="2" t="n">
        <x:f>IF(F58="",0,MAX(0,G58-F58))</x:f>
        <x:v>1</x:v>
      </x:c>
      <x:c r="J58" s="2" t="n">
        <x:f>IF((IF(LEFT('班次明細'!O8,2)="外場",IF(AND('班次明細'!L8&gt;0,'班次明細'!G8&lt;=B58,'班次明細'!H8&gt;=C58),1,0),0)+IF(LEFT('班次明細'!O15,2)="外場",IF(AND('班次明細'!L15&gt;0,'班次明細'!G15&lt;=B58,'班次明細'!H15&gt;=C58),1,0),0)+IF(LEFT('班次明細'!O22,2)="外場",IF(AND('班次明細'!L22&gt;0,'班次明細'!G22&lt;=B58,'班次明細'!H22&gt;=C58),1,0),0)+IF(LEFT('班次明細'!O29,2)="外場",IF(AND('班次明細'!L29&gt;0,'班次明細'!G29&lt;=B58,'班次明細'!H29&gt;=C58),1,0),0)+IF(LEFT('班次明細'!O36,2)="外場",IF(AND('班次明細'!L36&gt;0,'班次明細'!G36&lt;=B58,'班次明細'!H36&gt;=C58),1,0),0)+IF(LEFT('班次明細'!O43,2)="外場",IF(AND('班次明細'!L43&gt;0,'班次明細'!G43&lt;=B58,'班次明細'!H43&gt;=C58),1,0),0)+IF(LEFT('班次明細'!O50,2)="外場",IF(AND('班次明細'!L50&gt;0,'班次明細'!G50&lt;=B58,'班次明細'!H50&gt;=C58),1,0),0)+IF(LEFT('班次明細'!O57,2)="外場",IF(AND('班次明細'!L57&gt;0,'班次明細'!G57&lt;=B58,'班次明細'!H57&gt;=C58),1,0),0)+IF(LEFT('班次明細'!O64,2)="外場",IF(AND('班次明細'!L64&gt;0,'班次明細'!G64&lt;=B58,'班次明細'!H64&gt;=C58),1,0),0)+IF(LEFT('班次明細'!O71,2)="外場",IF(AND('班次明細'!L71&gt;0,'班次明細'!G71&lt;=B58,'班次明細'!H71&gt;=C58),1,0),0)+IF(LEFT('班次明細'!O78,2)="外場",IF(AND('班次明細'!L78&gt;0,'班次明細'!G78&lt;=B58,'班次明細'!H78&gt;=C58),1,0),0))&gt;0,0,1)+IF((IF(LEFT('班次明細'!O8,2)="吧台",IF(AND('班次明細'!L8&gt;0,'班次明細'!G8&lt;=B58,'班次明細'!H8&gt;=C58),1,0),0)+IF(LEFT('班次明細'!O15,2)="吧台",IF(AND('班次明細'!L15&gt;0,'班次明細'!G15&lt;=B58,'班次明細'!H15&gt;=C58),1,0),0)+IF(LEFT('班次明細'!O22,2)="吧台",IF(AND('班次明細'!L22&gt;0,'班次明細'!G22&lt;=B58,'班次明細'!H22&gt;=C58),1,0),0)+IF(LEFT('班次明細'!O29,2)="吧台",IF(AND('班次明細'!L29&gt;0,'班次明細'!G29&lt;=B58,'班次明細'!H29&gt;=C58),1,0),0)+IF(LEFT('班次明細'!O36,2)="吧台",IF(AND('班次明細'!L36&gt;0,'班次明細'!G36&lt;=B58,'班次明細'!H36&gt;=C58),1,0),0)+IF(LEFT('班次明細'!O43,2)="吧台",IF(AND('班次明細'!L43&gt;0,'班次明細'!G43&lt;=B58,'班次明細'!H43&gt;=C58),1,0),0)+IF(LEFT('班次明細'!O50,2)="吧台",IF(AND('班次明細'!L50&gt;0,'班次明細'!G50&lt;=B58,'班次明細'!H50&gt;=C58),1,0),0)+IF(LEFT('班次明細'!O57,2)="吧台",IF(AND('班次明細'!L57&gt;0,'班次明細'!G57&lt;=B58,'班次明細'!H57&gt;=C58),1,0),0)+IF(LEFT('班次明細'!O64,2)="吧台",IF(AND('班次明細'!L64&gt;0,'班次明細'!G64&lt;=B58,'班次明細'!H64&gt;=C58),1,0),0)+IF(LEFT('班次明細'!O71,2)="吧台",IF(AND('班次明細'!L71&gt;0,'班次明細'!G71&lt;=B58,'班次明細'!H71&gt;=C58),1,0),0)+IF(LEFT('班次明細'!O78,2)="吧台",IF(AND('班次明細'!L78&gt;0,'班次明細'!G78&lt;=B58,'班次明細'!H78&gt;=C58),1,0),0))&gt;0,0,1)+MAX(0,2-(IF(LEFT('班次明細'!O8,2)="司爐",IF(AND('班次明細'!L8&gt;0,'班次明細'!G8&lt;=B58,'班次明細'!H8&gt;=C58),1,0),0)+IF(LEFT('班次明細'!O15,2)="司爐",IF(AND('班次明細'!L15&gt;0,'班次明細'!G15&lt;=B58,'班次明細'!H15&gt;=C58),1,0),0)+IF(LEFT('班次明細'!O22,2)="司爐",IF(AND('班次明細'!L22&gt;0,'班次明細'!G22&lt;=B58,'班次明細'!H22&gt;=C58),1,0),0)+IF(LEFT('班次明細'!O29,2)="司爐",IF(AND('班次明細'!L29&gt;0,'班次明細'!G29&lt;=B58,'班次明細'!H29&gt;=C58),1,0),0)+IF(LEFT('班次明細'!O36,2)="司爐",IF(AND('班次明細'!L36&gt;0,'班次明細'!G36&lt;=B58,'班次明細'!H36&gt;=C58),1,0),0)+IF(LEFT('班次明細'!O43,2)="司爐",IF(AND('班次明細'!L43&gt;0,'班次明細'!G43&lt;=B58,'班次明細'!H43&gt;=C58),1,0),0)+IF(LEFT('班次明細'!O50,2)="司爐",IF(AND('班次明細'!L50&gt;0,'班次明細'!G50&lt;=B58,'班次明細'!H50&gt;=C58),1,0),0)+IF(LEFT('班次明細'!O57,2)="司爐",IF(AND('班次明細'!L57&gt;0,'班次明細'!G57&lt;=B58,'班次明細'!H57&gt;=C58),1,0),0)+IF(LEFT('班次明細'!O64,2)="司爐",IF(AND('班次明細'!L64&gt;0,'班次明細'!G64&lt;=B58,'班次明細'!H64&gt;=C58),1,0),0)+IF(LEFT('班次明細'!O71,2)="司爐",IF(AND('班次明細'!L71&gt;0,'班次明細'!G71&lt;=B58,'班次明細'!H71&gt;=C58),1,0),0)+IF(LEFT('班次明細'!O78,2)="司爐",IF(AND('班次明細'!L78&gt;0,'班次明細'!G78&lt;=B58,'班次明細'!H78&gt;=C58),1,0),0)+IF(LEFT('班次明細'!O8,2)="料區",IF(AND('班次明細'!L8&gt;0,'班次明細'!G8&lt;=B58,'班次明細'!H8&gt;=C58),1,0),0)+IF(LEFT('班次明細'!O15,2)="料區",IF(AND('班次明細'!L15&gt;0,'班次明細'!G15&lt;=B58,'班次明細'!H15&gt;=C58),1,0),0)+IF(LEFT('班次明細'!O22,2)="料區",IF(AND('班次明細'!L22&gt;0,'班次明細'!G22&lt;=B58,'班次明細'!H22&gt;=C58),1,0),0)+IF(LEFT('班次明細'!O29,2)="料區",IF(AND('班次明細'!L29&gt;0,'班次明細'!G29&lt;=B58,'班次明細'!H29&gt;=C58),1,0),0)+IF(LEFT('班次明細'!O36,2)="料區",IF(AND('班次明細'!L36&gt;0,'班次明細'!G36&lt;=B58,'班次明細'!H36&gt;=C58),1,0),0)+IF(LEFT('班次明細'!O43,2)="料區",IF(AND('班次明細'!L43&gt;0,'班次明細'!G43&lt;=B58,'班次明細'!H43&gt;=C58),1,0),0)+IF(LEFT('班次明細'!O50,2)="料區",IF(AND('班次明細'!L50&gt;0,'班次明細'!G50&lt;=B58,'班次明細'!H50&gt;=C58),1,0),0)+IF(LEFT('班次明細'!O57,2)="料區",IF(AND('班次明細'!L57&gt;0,'班次明細'!G57&lt;=B58,'班次明細'!H57&gt;=C58),1,0),0)+IF(LEFT('班次明細'!O64,2)="料區",IF(AND('班次明細'!L64&gt;0,'班次明細'!G64&lt;=B58,'班次明細'!H64&gt;=C58),1,0),0)+IF(LEFT('班次明細'!O71,2)="料區",IF(AND('班次明細'!L71&gt;0,'班次明細'!G71&lt;=B58,'班次明細'!H71&gt;=C58),1,0),0)+IF(LEFT('班次明細'!O78,2)="料區",IF(AND('班次明細'!L78&gt;0,'班次明細'!G78&lt;=B58,'班次明細'!H78&gt;=C58),1,0),0)+IF(LEFT('班次明細'!O8,2)="炸區",IF(AND('班次明細'!L8&gt;0,'班次明細'!G8&lt;=B58,'班次明細'!H8&gt;=C58),1,0),0)+IF(LEFT('班次明細'!O15,2)="炸區",IF(AND('班次明細'!L15&gt;0,'班次明細'!G15&lt;=B58,'班次明細'!H15&gt;=C58),1,0),0)+IF(LEFT('班次明細'!O22,2)="炸區",IF(AND('班次明細'!L22&gt;0,'班次明細'!G22&lt;=B58,'班次明細'!H22&gt;=C58),1,0),0)+IF(LEFT('班次明細'!O29,2)="炸區",IF(AND('班次明細'!L29&gt;0,'班次明細'!G29&lt;=B58,'班次明細'!H29&gt;=C58),1,0),0)+IF(LEFT('班次明細'!O36,2)="炸區",IF(AND('班次明細'!L36&gt;0,'班次明細'!G36&lt;=B58,'班次明細'!H36&gt;=C58),1,0),0)+IF(LEFT('班次明細'!O43,2)="炸區",IF(AND('班次明細'!L43&gt;0,'班次明細'!G43&lt;=B58,'班次明細'!H43&gt;=C58),1,0),0)+IF(LEFT('班次明細'!O50,2)="炸區",IF(AND('班次明細'!L50&gt;0,'班次明細'!G50&lt;=B58,'班次明細'!H50&gt;=C58),1,0),0)+IF(LEFT('班次明細'!O57,2)="炸區",IF(AND('班次明細'!L57&gt;0,'班次明細'!G57&lt;=B58,'班次明細'!H57&gt;=C58),1,0),0)+IF(LEFT('班次明細'!O64,2)="炸區",IF(AND('班次明細'!L64&gt;0,'班次明細'!G64&lt;=B58,'班次明細'!H64&gt;=C58),1,0),0)+IF(LEFT('班次明細'!O71,2)="炸區",IF(AND('班次明細'!L71&gt;0,'班次明細'!G71&lt;=B58,'班次明細'!H71&gt;=C58),1,0),0)+IF(LEFT('班次明細'!O78,2)="炸區",IF(AND('班次明細'!L78&gt;0,'班次明細'!G78&lt;=B58,'班次明細'!H78&gt;=C58),1,0),0)))</x:f>
        <x:v>0</x:v>
      </x:c>
      <x:c r="K58" s="11" t="str">
        <x:v>P01:炸區；P02:吧台；P04:料區；P05:外場；P10:司爐</x:v>
      </x:c>
      <x:c r="L58" s="11" t="str">
        <x:f>IF(OR(H58&gt;0,I58&gt;0,J58&gt;0),"缺口／超額待處理","主崗齊；休息待現場")</x:f>
        <x:v>缺口／超額待處理</x:v>
      </x:c>
    </x:row>
    <x:row r="59" ht="42" customHeight="1">
      <x:c r="A59" s="12" t="n">
        <x:v>46316</x:v>
      </x:c>
      <x:c r="B59" s="13" t="n">
        <x:v>0.5208333333333334</x:v>
      </x:c>
      <x:c r="C59" s="13" t="n">
        <x:v>0.5416666666666666</x:v>
      </x:c>
      <x:c r="D59" s="2" t="str">
        <x:v>午餐主崗</x:v>
      </x:c>
      <x:c r="E59" s="2" t="n">
        <x:v>4</x:v>
      </x:c>
      <x:c r="F59" s="2" t="n">
        <x:v>4</x:v>
      </x:c>
      <x:c r="G59" s="2" t="n">
        <x:f>IF(AND('班次明細'!L8&gt;0,'班次明細'!G8&lt;=B59,'班次明細'!H8&gt;=C59),1,0)+IF(AND('班次明細'!L15&gt;0,'班次明細'!G15&lt;=B59,'班次明細'!H15&gt;=C59),1,0)+IF(AND('班次明細'!L22&gt;0,'班次明細'!G22&lt;=B59,'班次明細'!H22&gt;=C59),1,0)+IF(AND('班次明細'!L29&gt;0,'班次明細'!G29&lt;=B59,'班次明細'!H29&gt;=C59),1,0)+IF(AND('班次明細'!L36&gt;0,'班次明細'!G36&lt;=B59,'班次明細'!H36&gt;=C59),1,0)+IF(AND('班次明細'!L43&gt;0,'班次明細'!G43&lt;=B59,'班次明細'!H43&gt;=C59),1,0)+IF(AND('班次明細'!L50&gt;0,'班次明細'!G50&lt;=B59,'班次明細'!H50&gt;=C59),1,0)+IF(AND('班次明細'!L57&gt;0,'班次明細'!G57&lt;=B59,'班次明細'!H57&gt;=C59),1,0)+IF(AND('班次明細'!L64&gt;0,'班次明細'!G64&lt;=B59,'班次明細'!H64&gt;=C59),1,0)+IF(AND('班次明細'!L71&gt;0,'班次明細'!G71&lt;=B59,'班次明細'!H71&gt;=C59),1,0)+IF(AND('班次明細'!L78&gt;0,'班次明細'!G78&lt;=B59,'班次明細'!H78&gt;=C59),1,0)</x:f>
        <x:v>5</x:v>
      </x:c>
      <x:c r="H59" s="2" t="n">
        <x:f>MAX(0,E59-G59)</x:f>
        <x:v>0</x:v>
      </x:c>
      <x:c r="I59" s="2" t="n">
        <x:f>IF(F59="",0,MAX(0,G59-F59))</x:f>
        <x:v>1</x:v>
      </x:c>
      <x:c r="J59" s="2" t="n">
        <x:f>IF((IF(LEFT('班次明細'!O8,2)="外場",IF(AND('班次明細'!L8&gt;0,'班次明細'!G8&lt;=B59,'班次明細'!H8&gt;=C59),1,0),0)+IF(LEFT('班次明細'!O15,2)="外場",IF(AND('班次明細'!L15&gt;0,'班次明細'!G15&lt;=B59,'班次明細'!H15&gt;=C59),1,0),0)+IF(LEFT('班次明細'!O22,2)="外場",IF(AND('班次明細'!L22&gt;0,'班次明細'!G22&lt;=B59,'班次明細'!H22&gt;=C59),1,0),0)+IF(LEFT('班次明細'!O29,2)="外場",IF(AND('班次明細'!L29&gt;0,'班次明細'!G29&lt;=B59,'班次明細'!H29&gt;=C59),1,0),0)+IF(LEFT('班次明細'!O36,2)="外場",IF(AND('班次明細'!L36&gt;0,'班次明細'!G36&lt;=B59,'班次明細'!H36&gt;=C59),1,0),0)+IF(LEFT('班次明細'!O43,2)="外場",IF(AND('班次明細'!L43&gt;0,'班次明細'!G43&lt;=B59,'班次明細'!H43&gt;=C59),1,0),0)+IF(LEFT('班次明細'!O50,2)="外場",IF(AND('班次明細'!L50&gt;0,'班次明細'!G50&lt;=B59,'班次明細'!H50&gt;=C59),1,0),0)+IF(LEFT('班次明細'!O57,2)="外場",IF(AND('班次明細'!L57&gt;0,'班次明細'!G57&lt;=B59,'班次明細'!H57&gt;=C59),1,0),0)+IF(LEFT('班次明細'!O64,2)="外場",IF(AND('班次明細'!L64&gt;0,'班次明細'!G64&lt;=B59,'班次明細'!H64&gt;=C59),1,0),0)+IF(LEFT('班次明細'!O71,2)="外場",IF(AND('班次明細'!L71&gt;0,'班次明細'!G71&lt;=B59,'班次明細'!H71&gt;=C59),1,0),0)+IF(LEFT('班次明細'!O78,2)="外場",IF(AND('班次明細'!L78&gt;0,'班次明細'!G78&lt;=B59,'班次明細'!H78&gt;=C59),1,0),0))&gt;0,0,1)+IF((IF(LEFT('班次明細'!O8,2)="吧台",IF(AND('班次明細'!L8&gt;0,'班次明細'!G8&lt;=B59,'班次明細'!H8&gt;=C59),1,0),0)+IF(LEFT('班次明細'!O15,2)="吧台",IF(AND('班次明細'!L15&gt;0,'班次明細'!G15&lt;=B59,'班次明細'!H15&gt;=C59),1,0),0)+IF(LEFT('班次明細'!O22,2)="吧台",IF(AND('班次明細'!L22&gt;0,'班次明細'!G22&lt;=B59,'班次明細'!H22&gt;=C59),1,0),0)+IF(LEFT('班次明細'!O29,2)="吧台",IF(AND('班次明細'!L29&gt;0,'班次明細'!G29&lt;=B59,'班次明細'!H29&gt;=C59),1,0),0)+IF(LEFT('班次明細'!O36,2)="吧台",IF(AND('班次明細'!L36&gt;0,'班次明細'!G36&lt;=B59,'班次明細'!H36&gt;=C59),1,0),0)+IF(LEFT('班次明細'!O43,2)="吧台",IF(AND('班次明細'!L43&gt;0,'班次明細'!G43&lt;=B59,'班次明細'!H43&gt;=C59),1,0),0)+IF(LEFT('班次明細'!O50,2)="吧台",IF(AND('班次明細'!L50&gt;0,'班次明細'!G50&lt;=B59,'班次明細'!H50&gt;=C59),1,0),0)+IF(LEFT('班次明細'!O57,2)="吧台",IF(AND('班次明細'!L57&gt;0,'班次明細'!G57&lt;=B59,'班次明細'!H57&gt;=C59),1,0),0)+IF(LEFT('班次明細'!O64,2)="吧台",IF(AND('班次明細'!L64&gt;0,'班次明細'!G64&lt;=B59,'班次明細'!H64&gt;=C59),1,0),0)+IF(LEFT('班次明細'!O71,2)="吧台",IF(AND('班次明細'!L71&gt;0,'班次明細'!G71&lt;=B59,'班次明細'!H71&gt;=C59),1,0),0)+IF(LEFT('班次明細'!O78,2)="吧台",IF(AND('班次明細'!L78&gt;0,'班次明細'!G78&lt;=B59,'班次明細'!H78&gt;=C59),1,0),0))&gt;0,0,1)+MAX(0,2-(IF(LEFT('班次明細'!O8,2)="司爐",IF(AND('班次明細'!L8&gt;0,'班次明細'!G8&lt;=B59,'班次明細'!H8&gt;=C59),1,0),0)+IF(LEFT('班次明細'!O15,2)="司爐",IF(AND('班次明細'!L15&gt;0,'班次明細'!G15&lt;=B59,'班次明細'!H15&gt;=C59),1,0),0)+IF(LEFT('班次明細'!O22,2)="司爐",IF(AND('班次明細'!L22&gt;0,'班次明細'!G22&lt;=B59,'班次明細'!H22&gt;=C59),1,0),0)+IF(LEFT('班次明細'!O29,2)="司爐",IF(AND('班次明細'!L29&gt;0,'班次明細'!G29&lt;=B59,'班次明細'!H29&gt;=C59),1,0),0)+IF(LEFT('班次明細'!O36,2)="司爐",IF(AND('班次明細'!L36&gt;0,'班次明細'!G36&lt;=B59,'班次明細'!H36&gt;=C59),1,0),0)+IF(LEFT('班次明細'!O43,2)="司爐",IF(AND('班次明細'!L43&gt;0,'班次明細'!G43&lt;=B59,'班次明細'!H43&gt;=C59),1,0),0)+IF(LEFT('班次明細'!O50,2)="司爐",IF(AND('班次明細'!L50&gt;0,'班次明細'!G50&lt;=B59,'班次明細'!H50&gt;=C59),1,0),0)+IF(LEFT('班次明細'!O57,2)="司爐",IF(AND('班次明細'!L57&gt;0,'班次明細'!G57&lt;=B59,'班次明細'!H57&gt;=C59),1,0),0)+IF(LEFT('班次明細'!O64,2)="司爐",IF(AND('班次明細'!L64&gt;0,'班次明細'!G64&lt;=B59,'班次明細'!H64&gt;=C59),1,0),0)+IF(LEFT('班次明細'!O71,2)="司爐",IF(AND('班次明細'!L71&gt;0,'班次明細'!G71&lt;=B59,'班次明細'!H71&gt;=C59),1,0),0)+IF(LEFT('班次明細'!O78,2)="司爐",IF(AND('班次明細'!L78&gt;0,'班次明細'!G78&lt;=B59,'班次明細'!H78&gt;=C59),1,0),0)+IF(LEFT('班次明細'!O8,2)="料區",IF(AND('班次明細'!L8&gt;0,'班次明細'!G8&lt;=B59,'班次明細'!H8&gt;=C59),1,0),0)+IF(LEFT('班次明細'!O15,2)="料區",IF(AND('班次明細'!L15&gt;0,'班次明細'!G15&lt;=B59,'班次明細'!H15&gt;=C59),1,0),0)+IF(LEFT('班次明細'!O22,2)="料區",IF(AND('班次明細'!L22&gt;0,'班次明細'!G22&lt;=B59,'班次明細'!H22&gt;=C59),1,0),0)+IF(LEFT('班次明細'!O29,2)="料區",IF(AND('班次明細'!L29&gt;0,'班次明細'!G29&lt;=B59,'班次明細'!H29&gt;=C59),1,0),0)+IF(LEFT('班次明細'!O36,2)="料區",IF(AND('班次明細'!L36&gt;0,'班次明細'!G36&lt;=B59,'班次明細'!H36&gt;=C59),1,0),0)+IF(LEFT('班次明細'!O43,2)="料區",IF(AND('班次明細'!L43&gt;0,'班次明細'!G43&lt;=B59,'班次明細'!H43&gt;=C59),1,0),0)+IF(LEFT('班次明細'!O50,2)="料區",IF(AND('班次明細'!L50&gt;0,'班次明細'!G50&lt;=B59,'班次明細'!H50&gt;=C59),1,0),0)+IF(LEFT('班次明細'!O57,2)="料區",IF(AND('班次明細'!L57&gt;0,'班次明細'!G57&lt;=B59,'班次明細'!H57&gt;=C59),1,0),0)+IF(LEFT('班次明細'!O64,2)="料區",IF(AND('班次明細'!L64&gt;0,'班次明細'!G64&lt;=B59,'班次明細'!H64&gt;=C59),1,0),0)+IF(LEFT('班次明細'!O71,2)="料區",IF(AND('班次明細'!L71&gt;0,'班次明細'!G71&lt;=B59,'班次明細'!H71&gt;=C59),1,0),0)+IF(LEFT('班次明細'!O78,2)="料區",IF(AND('班次明細'!L78&gt;0,'班次明細'!G78&lt;=B59,'班次明細'!H78&gt;=C59),1,0),0)+IF(LEFT('班次明細'!O8,2)="炸區",IF(AND('班次明細'!L8&gt;0,'班次明細'!G8&lt;=B59,'班次明細'!H8&gt;=C59),1,0),0)+IF(LEFT('班次明細'!O15,2)="炸區",IF(AND('班次明細'!L15&gt;0,'班次明細'!G15&lt;=B59,'班次明細'!H15&gt;=C59),1,0),0)+IF(LEFT('班次明細'!O22,2)="炸區",IF(AND('班次明細'!L22&gt;0,'班次明細'!G22&lt;=B59,'班次明細'!H22&gt;=C59),1,0),0)+IF(LEFT('班次明細'!O29,2)="炸區",IF(AND('班次明細'!L29&gt;0,'班次明細'!G29&lt;=B59,'班次明細'!H29&gt;=C59),1,0),0)+IF(LEFT('班次明細'!O36,2)="炸區",IF(AND('班次明細'!L36&gt;0,'班次明細'!G36&lt;=B59,'班次明細'!H36&gt;=C59),1,0),0)+IF(LEFT('班次明細'!O43,2)="炸區",IF(AND('班次明細'!L43&gt;0,'班次明細'!G43&lt;=B59,'班次明細'!H43&gt;=C59),1,0),0)+IF(LEFT('班次明細'!O50,2)="炸區",IF(AND('班次明細'!L50&gt;0,'班次明細'!G50&lt;=B59,'班次明細'!H50&gt;=C59),1,0),0)+IF(LEFT('班次明細'!O57,2)="炸區",IF(AND('班次明細'!L57&gt;0,'班次明細'!G57&lt;=B59,'班次明細'!H57&gt;=C59),1,0),0)+IF(LEFT('班次明細'!O64,2)="炸區",IF(AND('班次明細'!L64&gt;0,'班次明細'!G64&lt;=B59,'班次明細'!H64&gt;=C59),1,0),0)+IF(LEFT('班次明細'!O71,2)="炸區",IF(AND('班次明細'!L71&gt;0,'班次明細'!G71&lt;=B59,'班次明細'!H71&gt;=C59),1,0),0)+IF(LEFT('班次明細'!O78,2)="炸區",IF(AND('班次明細'!L78&gt;0,'班次明細'!G78&lt;=B59,'班次明細'!H78&gt;=C59),1,0),0)))</x:f>
        <x:v>0</x:v>
      </x:c>
      <x:c r="K59" s="11" t="str">
        <x:v>P01:炸區；P02:吧台；P04:料區；P05:外場；P10:司爐</x:v>
      </x:c>
      <x:c r="L59" s="11" t="str">
        <x:f>IF(OR(H59&gt;0,I59&gt;0,J59&gt;0),"缺口／超額待處理","主崗齊；休息待現場")</x:f>
        <x:v>缺口／超額待處理</x:v>
      </x:c>
    </x:row>
    <x:row r="60" ht="42" customHeight="1">
      <x:c r="A60" s="12" t="n">
        <x:v>46316</x:v>
      </x:c>
      <x:c r="B60" s="13" t="n">
        <x:v>0.5416666666666666</x:v>
      </x:c>
      <x:c r="C60" s="13" t="n">
        <x:v>0.5625</x:v>
      </x:c>
      <x:c r="D60" s="2" t="str">
        <x:v>午餐主崗</x:v>
      </x:c>
      <x:c r="E60" s="2" t="n">
        <x:v>4</x:v>
      </x:c>
      <x:c r="F60" s="2" t="n">
        <x:v>4</x:v>
      </x:c>
      <x:c r="G60" s="2" t="n">
        <x:f>IF(AND('班次明細'!L8&gt;0,'班次明細'!G8&lt;=B60,'班次明細'!H8&gt;=C60),1,0)+IF(AND('班次明細'!L15&gt;0,'班次明細'!G15&lt;=B60,'班次明細'!H15&gt;=C60),1,0)+IF(AND('班次明細'!L22&gt;0,'班次明細'!G22&lt;=B60,'班次明細'!H22&gt;=C60),1,0)+IF(AND('班次明細'!L29&gt;0,'班次明細'!G29&lt;=B60,'班次明細'!H29&gt;=C60),1,0)+IF(AND('班次明細'!L36&gt;0,'班次明細'!G36&lt;=B60,'班次明細'!H36&gt;=C60),1,0)+IF(AND('班次明細'!L43&gt;0,'班次明細'!G43&lt;=B60,'班次明細'!H43&gt;=C60),1,0)+IF(AND('班次明細'!L50&gt;0,'班次明細'!G50&lt;=B60,'班次明細'!H50&gt;=C60),1,0)+IF(AND('班次明細'!L57&gt;0,'班次明細'!G57&lt;=B60,'班次明細'!H57&gt;=C60),1,0)+IF(AND('班次明細'!L64&gt;0,'班次明細'!G64&lt;=B60,'班次明細'!H64&gt;=C60),1,0)+IF(AND('班次明細'!L71&gt;0,'班次明細'!G71&lt;=B60,'班次明細'!H71&gt;=C60),1,0)+IF(AND('班次明細'!L78&gt;0,'班次明細'!G78&lt;=B60,'班次明細'!H78&gt;=C60),1,0)</x:f>
        <x:v>5</x:v>
      </x:c>
      <x:c r="H60" s="2" t="n">
        <x:f>MAX(0,E60-G60)</x:f>
        <x:v>0</x:v>
      </x:c>
      <x:c r="I60" s="2" t="n">
        <x:f>IF(F60="",0,MAX(0,G60-F60))</x:f>
        <x:v>1</x:v>
      </x:c>
      <x:c r="J60" s="2" t="n">
        <x:f>IF((IF(LEFT('班次明細'!O8,2)="外場",IF(AND('班次明細'!L8&gt;0,'班次明細'!G8&lt;=B60,'班次明細'!H8&gt;=C60),1,0),0)+IF(LEFT('班次明細'!O15,2)="外場",IF(AND('班次明細'!L15&gt;0,'班次明細'!G15&lt;=B60,'班次明細'!H15&gt;=C60),1,0),0)+IF(LEFT('班次明細'!O22,2)="外場",IF(AND('班次明細'!L22&gt;0,'班次明細'!G22&lt;=B60,'班次明細'!H22&gt;=C60),1,0),0)+IF(LEFT('班次明細'!O29,2)="外場",IF(AND('班次明細'!L29&gt;0,'班次明細'!G29&lt;=B60,'班次明細'!H29&gt;=C60),1,0),0)+IF(LEFT('班次明細'!O36,2)="外場",IF(AND('班次明細'!L36&gt;0,'班次明細'!G36&lt;=B60,'班次明細'!H36&gt;=C60),1,0),0)+IF(LEFT('班次明細'!O43,2)="外場",IF(AND('班次明細'!L43&gt;0,'班次明細'!G43&lt;=B60,'班次明細'!H43&gt;=C60),1,0),0)+IF(LEFT('班次明細'!O50,2)="外場",IF(AND('班次明細'!L50&gt;0,'班次明細'!G50&lt;=B60,'班次明細'!H50&gt;=C60),1,0),0)+IF(LEFT('班次明細'!O57,2)="外場",IF(AND('班次明細'!L57&gt;0,'班次明細'!G57&lt;=B60,'班次明細'!H57&gt;=C60),1,0),0)+IF(LEFT('班次明細'!O64,2)="外場",IF(AND('班次明細'!L64&gt;0,'班次明細'!G64&lt;=B60,'班次明細'!H64&gt;=C60),1,0),0)+IF(LEFT('班次明細'!O71,2)="外場",IF(AND('班次明細'!L71&gt;0,'班次明細'!G71&lt;=B60,'班次明細'!H71&gt;=C60),1,0),0)+IF(LEFT('班次明細'!O78,2)="外場",IF(AND('班次明細'!L78&gt;0,'班次明細'!G78&lt;=B60,'班次明細'!H78&gt;=C60),1,0),0))&gt;0,0,1)+IF((IF(LEFT('班次明細'!O8,2)="吧台",IF(AND('班次明細'!L8&gt;0,'班次明細'!G8&lt;=B60,'班次明細'!H8&gt;=C60),1,0),0)+IF(LEFT('班次明細'!O15,2)="吧台",IF(AND('班次明細'!L15&gt;0,'班次明細'!G15&lt;=B60,'班次明細'!H15&gt;=C60),1,0),0)+IF(LEFT('班次明細'!O22,2)="吧台",IF(AND('班次明細'!L22&gt;0,'班次明細'!G22&lt;=B60,'班次明細'!H22&gt;=C60),1,0),0)+IF(LEFT('班次明細'!O29,2)="吧台",IF(AND('班次明細'!L29&gt;0,'班次明細'!G29&lt;=B60,'班次明細'!H29&gt;=C60),1,0),0)+IF(LEFT('班次明細'!O36,2)="吧台",IF(AND('班次明細'!L36&gt;0,'班次明細'!G36&lt;=B60,'班次明細'!H36&gt;=C60),1,0),0)+IF(LEFT('班次明細'!O43,2)="吧台",IF(AND('班次明細'!L43&gt;0,'班次明細'!G43&lt;=B60,'班次明細'!H43&gt;=C60),1,0),0)+IF(LEFT('班次明細'!O50,2)="吧台",IF(AND('班次明細'!L50&gt;0,'班次明細'!G50&lt;=B60,'班次明細'!H50&gt;=C60),1,0),0)+IF(LEFT('班次明細'!O57,2)="吧台",IF(AND('班次明細'!L57&gt;0,'班次明細'!G57&lt;=B60,'班次明細'!H57&gt;=C60),1,0),0)+IF(LEFT('班次明細'!O64,2)="吧台",IF(AND('班次明細'!L64&gt;0,'班次明細'!G64&lt;=B60,'班次明細'!H64&gt;=C60),1,0),0)+IF(LEFT('班次明細'!O71,2)="吧台",IF(AND('班次明細'!L71&gt;0,'班次明細'!G71&lt;=B60,'班次明細'!H71&gt;=C60),1,0),0)+IF(LEFT('班次明細'!O78,2)="吧台",IF(AND('班次明細'!L78&gt;0,'班次明細'!G78&lt;=B60,'班次明細'!H78&gt;=C60),1,0),0))&gt;0,0,1)+MAX(0,2-(IF(LEFT('班次明細'!O8,2)="司爐",IF(AND('班次明細'!L8&gt;0,'班次明細'!G8&lt;=B60,'班次明細'!H8&gt;=C60),1,0),0)+IF(LEFT('班次明細'!O15,2)="司爐",IF(AND('班次明細'!L15&gt;0,'班次明細'!G15&lt;=B60,'班次明細'!H15&gt;=C60),1,0),0)+IF(LEFT('班次明細'!O22,2)="司爐",IF(AND('班次明細'!L22&gt;0,'班次明細'!G22&lt;=B60,'班次明細'!H22&gt;=C60),1,0),0)+IF(LEFT('班次明細'!O29,2)="司爐",IF(AND('班次明細'!L29&gt;0,'班次明細'!G29&lt;=B60,'班次明細'!H29&gt;=C60),1,0),0)+IF(LEFT('班次明細'!O36,2)="司爐",IF(AND('班次明細'!L36&gt;0,'班次明細'!G36&lt;=B60,'班次明細'!H36&gt;=C60),1,0),0)+IF(LEFT('班次明細'!O43,2)="司爐",IF(AND('班次明細'!L43&gt;0,'班次明細'!G43&lt;=B60,'班次明細'!H43&gt;=C60),1,0),0)+IF(LEFT('班次明細'!O50,2)="司爐",IF(AND('班次明細'!L50&gt;0,'班次明細'!G50&lt;=B60,'班次明細'!H50&gt;=C60),1,0),0)+IF(LEFT('班次明細'!O57,2)="司爐",IF(AND('班次明細'!L57&gt;0,'班次明細'!G57&lt;=B60,'班次明細'!H57&gt;=C60),1,0),0)+IF(LEFT('班次明細'!O64,2)="司爐",IF(AND('班次明細'!L64&gt;0,'班次明細'!G64&lt;=B60,'班次明細'!H64&gt;=C60),1,0),0)+IF(LEFT('班次明細'!O71,2)="司爐",IF(AND('班次明細'!L71&gt;0,'班次明細'!G71&lt;=B60,'班次明細'!H71&gt;=C60),1,0),0)+IF(LEFT('班次明細'!O78,2)="司爐",IF(AND('班次明細'!L78&gt;0,'班次明細'!G78&lt;=B60,'班次明細'!H78&gt;=C60),1,0),0)+IF(LEFT('班次明細'!O8,2)="料區",IF(AND('班次明細'!L8&gt;0,'班次明細'!G8&lt;=B60,'班次明細'!H8&gt;=C60),1,0),0)+IF(LEFT('班次明細'!O15,2)="料區",IF(AND('班次明細'!L15&gt;0,'班次明細'!G15&lt;=B60,'班次明細'!H15&gt;=C60),1,0),0)+IF(LEFT('班次明細'!O22,2)="料區",IF(AND('班次明細'!L22&gt;0,'班次明細'!G22&lt;=B60,'班次明細'!H22&gt;=C60),1,0),0)+IF(LEFT('班次明細'!O29,2)="料區",IF(AND('班次明細'!L29&gt;0,'班次明細'!G29&lt;=B60,'班次明細'!H29&gt;=C60),1,0),0)+IF(LEFT('班次明細'!O36,2)="料區",IF(AND('班次明細'!L36&gt;0,'班次明細'!G36&lt;=B60,'班次明細'!H36&gt;=C60),1,0),0)+IF(LEFT('班次明細'!O43,2)="料區",IF(AND('班次明細'!L43&gt;0,'班次明細'!G43&lt;=B60,'班次明細'!H43&gt;=C60),1,0),0)+IF(LEFT('班次明細'!O50,2)="料區",IF(AND('班次明細'!L50&gt;0,'班次明細'!G50&lt;=B60,'班次明細'!H50&gt;=C60),1,0),0)+IF(LEFT('班次明細'!O57,2)="料區",IF(AND('班次明細'!L57&gt;0,'班次明細'!G57&lt;=B60,'班次明細'!H57&gt;=C60),1,0),0)+IF(LEFT('班次明細'!O64,2)="料區",IF(AND('班次明細'!L64&gt;0,'班次明細'!G64&lt;=B60,'班次明細'!H64&gt;=C60),1,0),0)+IF(LEFT('班次明細'!O71,2)="料區",IF(AND('班次明細'!L71&gt;0,'班次明細'!G71&lt;=B60,'班次明細'!H71&gt;=C60),1,0),0)+IF(LEFT('班次明細'!O78,2)="料區",IF(AND('班次明細'!L78&gt;0,'班次明細'!G78&lt;=B60,'班次明細'!H78&gt;=C60),1,0),0)+IF(LEFT('班次明細'!O8,2)="炸區",IF(AND('班次明細'!L8&gt;0,'班次明細'!G8&lt;=B60,'班次明細'!H8&gt;=C60),1,0),0)+IF(LEFT('班次明細'!O15,2)="炸區",IF(AND('班次明細'!L15&gt;0,'班次明細'!G15&lt;=B60,'班次明細'!H15&gt;=C60),1,0),0)+IF(LEFT('班次明細'!O22,2)="炸區",IF(AND('班次明細'!L22&gt;0,'班次明細'!G22&lt;=B60,'班次明細'!H22&gt;=C60),1,0),0)+IF(LEFT('班次明細'!O29,2)="炸區",IF(AND('班次明細'!L29&gt;0,'班次明細'!G29&lt;=B60,'班次明細'!H29&gt;=C60),1,0),0)+IF(LEFT('班次明細'!O36,2)="炸區",IF(AND('班次明細'!L36&gt;0,'班次明細'!G36&lt;=B60,'班次明細'!H36&gt;=C60),1,0),0)+IF(LEFT('班次明細'!O43,2)="炸區",IF(AND('班次明細'!L43&gt;0,'班次明細'!G43&lt;=B60,'班次明細'!H43&gt;=C60),1,0),0)+IF(LEFT('班次明細'!O50,2)="炸區",IF(AND('班次明細'!L50&gt;0,'班次明細'!G50&lt;=B60,'班次明細'!H50&gt;=C60),1,0),0)+IF(LEFT('班次明細'!O57,2)="炸區",IF(AND('班次明細'!L57&gt;0,'班次明細'!G57&lt;=B60,'班次明細'!H57&gt;=C60),1,0),0)+IF(LEFT('班次明細'!O64,2)="炸區",IF(AND('班次明細'!L64&gt;0,'班次明細'!G64&lt;=B60,'班次明細'!H64&gt;=C60),1,0),0)+IF(LEFT('班次明細'!O71,2)="炸區",IF(AND('班次明細'!L71&gt;0,'班次明細'!G71&lt;=B60,'班次明細'!H71&gt;=C60),1,0),0)+IF(LEFT('班次明細'!O78,2)="炸區",IF(AND('班次明細'!L78&gt;0,'班次明細'!G78&lt;=B60,'班次明細'!H78&gt;=C60),1,0),0)))</x:f>
        <x:v>0</x:v>
      </x:c>
      <x:c r="K60" s="11" t="str">
        <x:v>P01:炸區；P02:吧台；P04:料區；P05:外場；P10:司爐</x:v>
      </x:c>
      <x:c r="L60" s="11" t="str">
        <x:f>IF(OR(H60&gt;0,I60&gt;0,J60&gt;0),"缺口／超額待處理","主崗齊；休息待現場")</x:f>
        <x:v>缺口／超額待處理</x:v>
      </x:c>
    </x:row>
    <x:row r="61" ht="42" customHeight="1">
      <x:c r="A61" s="12" t="n">
        <x:v>46316</x:v>
      </x:c>
      <x:c r="B61" s="13" t="n">
        <x:v>0.5625</x:v>
      </x:c>
      <x:c r="C61" s="13" t="n">
        <x:v>0.5833333333333334</x:v>
      </x:c>
      <x:c r="D61" s="2" t="str">
        <x:v>營運參考</x:v>
      </x:c>
      <x:c r="E61" s="2" t="n">
        <x:v>0</x:v>
      </x:c>
      <x:c r="F61" s="2"/>
      <x:c r="G61" s="2" t="n">
        <x:f>IF(AND('班次明細'!L8&gt;0,'班次明細'!G8&lt;=B61,'班次明細'!H8&gt;=C61),1,0)+IF(AND('班次明細'!L15&gt;0,'班次明細'!G15&lt;=B61,'班次明細'!H15&gt;=C61),1,0)+IF(AND('班次明細'!L22&gt;0,'班次明細'!G22&lt;=B61,'班次明細'!H22&gt;=C61),1,0)+IF(AND('班次明細'!L29&gt;0,'班次明細'!G29&lt;=B61,'班次明細'!H29&gt;=C61),1,0)+IF(AND('班次明細'!L36&gt;0,'班次明細'!G36&lt;=B61,'班次明細'!H36&gt;=C61),1,0)+IF(AND('班次明細'!L43&gt;0,'班次明細'!G43&lt;=B61,'班次明細'!H43&gt;=C61),1,0)+IF(AND('班次明細'!L50&gt;0,'班次明細'!G50&lt;=B61,'班次明細'!H50&gt;=C61),1,0)+IF(AND('班次明細'!L57&gt;0,'班次明細'!G57&lt;=B61,'班次明細'!H57&gt;=C61),1,0)+IF(AND('班次明細'!L64&gt;0,'班次明細'!G64&lt;=B61,'班次明細'!H64&gt;=C61),1,0)+IF(AND('班次明細'!L71&gt;0,'班次明細'!G71&lt;=B61,'班次明細'!H71&gt;=C61),1,0)+IF(AND('班次明細'!L78&gt;0,'班次明細'!G78&lt;=B61,'班次明細'!H78&gt;=C61),1,0)</x:f>
        <x:v>5</x:v>
      </x:c>
      <x:c r="H61" s="2" t="n">
        <x:f>MAX(0,E61-G61)</x:f>
        <x:v>0</x:v>
      </x:c>
      <x:c r="I61" s="2" t="n">
        <x:f>IF(F61="",0,MAX(0,G61-F61))</x:f>
        <x:v>0</x:v>
      </x:c>
      <x:c r="J61" s="2" t="n">
        <x:v>0</x:v>
      </x:c>
      <x:c r="K61" s="11" t="str">
        <x:v>—</x:v>
      </x:c>
      <x:c r="L61" s="11" t="str">
        <x:f>"營運參考"</x:f>
        <x:v>營運參考</x:v>
      </x:c>
    </x:row>
    <x:row r="62" ht="42" customHeight="1">
      <x:c r="A62" s="12" t="n">
        <x:v>46316</x:v>
      </x:c>
      <x:c r="B62" s="13" t="n">
        <x:v>0.5833333333333334</x:v>
      </x:c>
      <x:c r="C62" s="13" t="n">
        <x:v>0.6041666666666666</x:v>
      </x:c>
      <x:c r="D62" s="2" t="str">
        <x:v>營運參考</x:v>
      </x:c>
      <x:c r="E62" s="2" t="n">
        <x:v>0</x:v>
      </x:c>
      <x:c r="F62" s="2"/>
      <x:c r="G62" s="2" t="n">
        <x:f>IF(AND('班次明細'!L8&gt;0,'班次明細'!G8&lt;=B62,'班次明細'!H8&gt;=C62),1,0)+IF(AND('班次明細'!L15&gt;0,'班次明細'!G15&lt;=B62,'班次明細'!H15&gt;=C62),1,0)+IF(AND('班次明細'!L22&gt;0,'班次明細'!G22&lt;=B62,'班次明細'!H22&gt;=C62),1,0)+IF(AND('班次明細'!L29&gt;0,'班次明細'!G29&lt;=B62,'班次明細'!H29&gt;=C62),1,0)+IF(AND('班次明細'!L36&gt;0,'班次明細'!G36&lt;=B62,'班次明細'!H36&gt;=C62),1,0)+IF(AND('班次明細'!L43&gt;0,'班次明細'!G43&lt;=B62,'班次明細'!H43&gt;=C62),1,0)+IF(AND('班次明細'!L50&gt;0,'班次明細'!G50&lt;=B62,'班次明細'!H50&gt;=C62),1,0)+IF(AND('班次明細'!L57&gt;0,'班次明細'!G57&lt;=B62,'班次明細'!H57&gt;=C62),1,0)+IF(AND('班次明細'!L64&gt;0,'班次明細'!G64&lt;=B62,'班次明細'!H64&gt;=C62),1,0)+IF(AND('班次明細'!L71&gt;0,'班次明細'!G71&lt;=B62,'班次明細'!H71&gt;=C62),1,0)+IF(AND('班次明細'!L78&gt;0,'班次明細'!G78&lt;=B62,'班次明細'!H78&gt;=C62),1,0)</x:f>
        <x:v>5</x:v>
      </x:c>
      <x:c r="H62" s="2" t="n">
        <x:f>MAX(0,E62-G62)</x:f>
        <x:v>0</x:v>
      </x:c>
      <x:c r="I62" s="2" t="n">
        <x:f>IF(F62="",0,MAX(0,G62-F62))</x:f>
        <x:v>0</x:v>
      </x:c>
      <x:c r="J62" s="2" t="n">
        <x:v>0</x:v>
      </x:c>
      <x:c r="K62" s="11" t="str">
        <x:v>—</x:v>
      </x:c>
      <x:c r="L62" s="11" t="str">
        <x:f>"營運參考"</x:f>
        <x:v>營運參考</x:v>
      </x:c>
    </x:row>
    <x:row r="63" ht="42" customHeight="1">
      <x:c r="A63" s="12" t="n">
        <x:v>46316</x:v>
      </x:c>
      <x:c r="B63" s="13" t="n">
        <x:v>0.6041666666666666</x:v>
      </x:c>
      <x:c r="C63" s="13" t="n">
        <x:v>0.625</x:v>
      </x:c>
      <x:c r="D63" s="2" t="str">
        <x:v>營運參考</x:v>
      </x:c>
      <x:c r="E63" s="2" t="n">
        <x:v>0</x:v>
      </x:c>
      <x:c r="F63" s="2"/>
      <x:c r="G63" s="2" t="n">
        <x:f>IF(AND('班次明細'!L8&gt;0,'班次明細'!G8&lt;=B63,'班次明細'!H8&gt;=C63),1,0)+IF(AND('班次明細'!L15&gt;0,'班次明細'!G15&lt;=B63,'班次明細'!H15&gt;=C63),1,0)+IF(AND('班次明細'!L22&gt;0,'班次明細'!G22&lt;=B63,'班次明細'!H22&gt;=C63),1,0)+IF(AND('班次明細'!L29&gt;0,'班次明細'!G29&lt;=B63,'班次明細'!H29&gt;=C63),1,0)+IF(AND('班次明細'!L36&gt;0,'班次明細'!G36&lt;=B63,'班次明細'!H36&gt;=C63),1,0)+IF(AND('班次明細'!L43&gt;0,'班次明細'!G43&lt;=B63,'班次明細'!H43&gt;=C63),1,0)+IF(AND('班次明細'!L50&gt;0,'班次明細'!G50&lt;=B63,'班次明細'!H50&gt;=C63),1,0)+IF(AND('班次明細'!L57&gt;0,'班次明細'!G57&lt;=B63,'班次明細'!H57&gt;=C63),1,0)+IF(AND('班次明細'!L64&gt;0,'班次明細'!G64&lt;=B63,'班次明細'!H64&gt;=C63),1,0)+IF(AND('班次明細'!L71&gt;0,'班次明細'!G71&lt;=B63,'班次明細'!H71&gt;=C63),1,0)+IF(AND('班次明細'!L78&gt;0,'班次明細'!G78&lt;=B63,'班次明細'!H78&gt;=C63),1,0)</x:f>
        <x:v>5</x:v>
      </x:c>
      <x:c r="H63" s="2" t="n">
        <x:f>MAX(0,E63-G63)</x:f>
        <x:v>0</x:v>
      </x:c>
      <x:c r="I63" s="2" t="n">
        <x:f>IF(F63="",0,MAX(0,G63-F63))</x:f>
        <x:v>0</x:v>
      </x:c>
      <x:c r="J63" s="2" t="n">
        <x:v>0</x:v>
      </x:c>
      <x:c r="K63" s="11" t="str">
        <x:v>—</x:v>
      </x:c>
      <x:c r="L63" s="11" t="str">
        <x:f>"營運參考"</x:f>
        <x:v>營運參考</x:v>
      </x:c>
    </x:row>
    <x:row r="64" ht="42" customHeight="1">
      <x:c r="A64" s="12" t="n">
        <x:v>46316</x:v>
      </x:c>
      <x:c r="B64" s="13" t="n">
        <x:v>0.625</x:v>
      </x:c>
      <x:c r="C64" s="13" t="n">
        <x:v>0.6458333333333334</x:v>
      </x:c>
      <x:c r="D64" s="2" t="str">
        <x:v>營運參考</x:v>
      </x:c>
      <x:c r="E64" s="2" t="n">
        <x:v>0</x:v>
      </x:c>
      <x:c r="F64" s="2"/>
      <x:c r="G64" s="2" t="n">
        <x:f>IF(AND('班次明細'!L8&gt;0,'班次明細'!G8&lt;=B64,'班次明細'!H8&gt;=C64),1,0)+IF(AND('班次明細'!L15&gt;0,'班次明細'!G15&lt;=B64,'班次明細'!H15&gt;=C64),1,0)+IF(AND('班次明細'!L22&gt;0,'班次明細'!G22&lt;=B64,'班次明細'!H22&gt;=C64),1,0)+IF(AND('班次明細'!L29&gt;0,'班次明細'!G29&lt;=B64,'班次明細'!H29&gt;=C64),1,0)+IF(AND('班次明細'!L36&gt;0,'班次明細'!G36&lt;=B64,'班次明細'!H36&gt;=C64),1,0)+IF(AND('班次明細'!L43&gt;0,'班次明細'!G43&lt;=B64,'班次明細'!H43&gt;=C64),1,0)+IF(AND('班次明細'!L50&gt;0,'班次明細'!G50&lt;=B64,'班次明細'!H50&gt;=C64),1,0)+IF(AND('班次明細'!L57&gt;0,'班次明細'!G57&lt;=B64,'班次明細'!H57&gt;=C64),1,0)+IF(AND('班次明細'!L64&gt;0,'班次明細'!G64&lt;=B64,'班次明細'!H64&gt;=C64),1,0)+IF(AND('班次明細'!L71&gt;0,'班次明細'!G71&lt;=B64,'班次明細'!H71&gt;=C64),1,0)+IF(AND('班次明細'!L78&gt;0,'班次明細'!G78&lt;=B64,'班次明細'!H78&gt;=C64),1,0)</x:f>
        <x:v>5</x:v>
      </x:c>
      <x:c r="H64" s="2" t="n">
        <x:f>MAX(0,E64-G64)</x:f>
        <x:v>0</x:v>
      </x:c>
      <x:c r="I64" s="2" t="n">
        <x:f>IF(F64="",0,MAX(0,G64-F64))</x:f>
        <x:v>0</x:v>
      </x:c>
      <x:c r="J64" s="2" t="n">
        <x:v>0</x:v>
      </x:c>
      <x:c r="K64" s="11" t="str">
        <x:v>—</x:v>
      </x:c>
      <x:c r="L64" s="11" t="str">
        <x:f>"營運參考"</x:f>
        <x:v>營運參考</x:v>
      </x:c>
    </x:row>
    <x:row r="65" ht="42" customHeight="1">
      <x:c r="A65" s="12" t="n">
        <x:v>46316</x:v>
      </x:c>
      <x:c r="B65" s="13" t="n">
        <x:v>0.6458333333333334</x:v>
      </x:c>
      <x:c r="C65" s="13" t="n">
        <x:v>0.6666666666666666</x:v>
      </x:c>
      <x:c r="D65" s="2" t="str">
        <x:v>營運參考</x:v>
      </x:c>
      <x:c r="E65" s="2" t="n">
        <x:v>0</x:v>
      </x:c>
      <x:c r="F65" s="2"/>
      <x:c r="G65" s="2" t="n">
        <x:f>IF(AND('班次明細'!L8&gt;0,'班次明細'!G8&lt;=B65,'班次明細'!H8&gt;=C65),1,0)+IF(AND('班次明細'!L15&gt;0,'班次明細'!G15&lt;=B65,'班次明細'!H15&gt;=C65),1,0)+IF(AND('班次明細'!L22&gt;0,'班次明細'!G22&lt;=B65,'班次明細'!H22&gt;=C65),1,0)+IF(AND('班次明細'!L29&gt;0,'班次明細'!G29&lt;=B65,'班次明細'!H29&gt;=C65),1,0)+IF(AND('班次明細'!L36&gt;0,'班次明細'!G36&lt;=B65,'班次明細'!H36&gt;=C65),1,0)+IF(AND('班次明細'!L43&gt;0,'班次明細'!G43&lt;=B65,'班次明細'!H43&gt;=C65),1,0)+IF(AND('班次明細'!L50&gt;0,'班次明細'!G50&lt;=B65,'班次明細'!H50&gt;=C65),1,0)+IF(AND('班次明細'!L57&gt;0,'班次明細'!G57&lt;=B65,'班次明細'!H57&gt;=C65),1,0)+IF(AND('班次明細'!L64&gt;0,'班次明細'!G64&lt;=B65,'班次明細'!H64&gt;=C65),1,0)+IF(AND('班次明細'!L71&gt;0,'班次明細'!G71&lt;=B65,'班次明細'!H71&gt;=C65),1,0)+IF(AND('班次明細'!L78&gt;0,'班次明細'!G78&lt;=B65,'班次明細'!H78&gt;=C65),1,0)</x:f>
        <x:v>4</x:v>
      </x:c>
      <x:c r="H65" s="2" t="n">
        <x:f>MAX(0,E65-G65)</x:f>
        <x:v>0</x:v>
      </x:c>
      <x:c r="I65" s="2" t="n">
        <x:f>IF(F65="",0,MAX(0,G65-F65))</x:f>
        <x:v>0</x:v>
      </x:c>
      <x:c r="J65" s="2" t="n">
        <x:v>0</x:v>
      </x:c>
      <x:c r="K65" s="11" t="str">
        <x:v>—</x:v>
      </x:c>
      <x:c r="L65" s="11" t="str">
        <x:f>"營運參考"</x:f>
        <x:v>營運參考</x:v>
      </x:c>
    </x:row>
    <x:row r="66" ht="42" customHeight="1">
      <x:c r="A66" s="12" t="n">
        <x:v>46316</x:v>
      </x:c>
      <x:c r="B66" s="13" t="n">
        <x:v>0.6666666666666666</x:v>
      </x:c>
      <x:c r="C66" s="13" t="n">
        <x:v>0.6875</x:v>
      </x:c>
      <x:c r="D66" s="2" t="str">
        <x:v>營運參考</x:v>
      </x:c>
      <x:c r="E66" s="2" t="n">
        <x:v>0</x:v>
      </x:c>
      <x:c r="F66" s="2"/>
      <x:c r="G66" s="2" t="n">
        <x:f>IF(AND('班次明細'!L8&gt;0,'班次明細'!G8&lt;=B66,'班次明細'!H8&gt;=C66),1,0)+IF(AND('班次明細'!L15&gt;0,'班次明細'!G15&lt;=B66,'班次明細'!H15&gt;=C66),1,0)+IF(AND('班次明細'!L22&gt;0,'班次明細'!G22&lt;=B66,'班次明細'!H22&gt;=C66),1,0)+IF(AND('班次明細'!L29&gt;0,'班次明細'!G29&lt;=B66,'班次明細'!H29&gt;=C66),1,0)+IF(AND('班次明細'!L36&gt;0,'班次明細'!G36&lt;=B66,'班次明細'!H36&gt;=C66),1,0)+IF(AND('班次明細'!L43&gt;0,'班次明細'!G43&lt;=B66,'班次明細'!H43&gt;=C66),1,0)+IF(AND('班次明細'!L50&gt;0,'班次明細'!G50&lt;=B66,'班次明細'!H50&gt;=C66),1,0)+IF(AND('班次明細'!L57&gt;0,'班次明細'!G57&lt;=B66,'班次明細'!H57&gt;=C66),1,0)+IF(AND('班次明細'!L64&gt;0,'班次明細'!G64&lt;=B66,'班次明細'!H64&gt;=C66),1,0)+IF(AND('班次明細'!L71&gt;0,'班次明細'!G71&lt;=B66,'班次明細'!H71&gt;=C66),1,0)+IF(AND('班次明細'!L78&gt;0,'班次明細'!G78&lt;=B66,'班次明細'!H78&gt;=C66),1,0)</x:f>
        <x:v>4</x:v>
      </x:c>
      <x:c r="H66" s="2" t="n">
        <x:f>MAX(0,E66-G66)</x:f>
        <x:v>0</x:v>
      </x:c>
      <x:c r="I66" s="2" t="n">
        <x:f>IF(F66="",0,MAX(0,G66-F66))</x:f>
        <x:v>0</x:v>
      </x:c>
      <x:c r="J66" s="2" t="n">
        <x:v>0</x:v>
      </x:c>
      <x:c r="K66" s="11" t="str">
        <x:v>—</x:v>
      </x:c>
      <x:c r="L66" s="11" t="str">
        <x:f>"營運參考"</x:f>
        <x:v>營運參考</x:v>
      </x:c>
    </x:row>
    <x:row r="67" ht="42" customHeight="1">
      <x:c r="A67" s="12" t="n">
        <x:v>46316</x:v>
      </x:c>
      <x:c r="B67" s="13" t="n">
        <x:v>0.6875</x:v>
      </x:c>
      <x:c r="C67" s="13" t="n">
        <x:v>0.7083333333333334</x:v>
      </x:c>
      <x:c r="D67" s="2" t="str">
        <x:v>營運參考</x:v>
      </x:c>
      <x:c r="E67" s="2" t="n">
        <x:v>0</x:v>
      </x:c>
      <x:c r="F67" s="2"/>
      <x:c r="G67" s="2" t="n">
        <x:f>IF(AND('班次明細'!L8&gt;0,'班次明細'!G8&lt;=B67,'班次明細'!H8&gt;=C67),1,0)+IF(AND('班次明細'!L15&gt;0,'班次明細'!G15&lt;=B67,'班次明細'!H15&gt;=C67),1,0)+IF(AND('班次明細'!L22&gt;0,'班次明細'!G22&lt;=B67,'班次明細'!H22&gt;=C67),1,0)+IF(AND('班次明細'!L29&gt;0,'班次明細'!G29&lt;=B67,'班次明細'!H29&gt;=C67),1,0)+IF(AND('班次明細'!L36&gt;0,'班次明細'!G36&lt;=B67,'班次明細'!H36&gt;=C67),1,0)+IF(AND('班次明細'!L43&gt;0,'班次明細'!G43&lt;=B67,'班次明細'!H43&gt;=C67),1,0)+IF(AND('班次明細'!L50&gt;0,'班次明細'!G50&lt;=B67,'班次明細'!H50&gt;=C67),1,0)+IF(AND('班次明細'!L57&gt;0,'班次明細'!G57&lt;=B67,'班次明細'!H57&gt;=C67),1,0)+IF(AND('班次明細'!L64&gt;0,'班次明細'!G64&lt;=B67,'班次明細'!H64&gt;=C67),1,0)+IF(AND('班次明細'!L71&gt;0,'班次明細'!G71&lt;=B67,'班次明細'!H71&gt;=C67),1,0)+IF(AND('班次明細'!L78&gt;0,'班次明細'!G78&lt;=B67,'班次明細'!H78&gt;=C67),1,0)</x:f>
        <x:v>4</x:v>
      </x:c>
      <x:c r="H67" s="2" t="n">
        <x:f>MAX(0,E67-G67)</x:f>
        <x:v>0</x:v>
      </x:c>
      <x:c r="I67" s="2" t="n">
        <x:f>IF(F67="",0,MAX(0,G67-F67))</x:f>
        <x:v>0</x:v>
      </x:c>
      <x:c r="J67" s="2" t="n">
        <x:v>0</x:v>
      </x:c>
      <x:c r="K67" s="11" t="str">
        <x:v>—</x:v>
      </x:c>
      <x:c r="L67" s="11" t="str">
        <x:f>"營運參考"</x:f>
        <x:v>營運參考</x:v>
      </x:c>
    </x:row>
    <x:row r="68" ht="42" customHeight="1">
      <x:c r="A68" s="12" t="n">
        <x:v>46316</x:v>
      </x:c>
      <x:c r="B68" s="13" t="n">
        <x:v>0.7083333333333334</x:v>
      </x:c>
      <x:c r="C68" s="13" t="n">
        <x:v>0.7291666666666666</x:v>
      </x:c>
      <x:c r="D68" s="2" t="str">
        <x:v>營運參考</x:v>
      </x:c>
      <x:c r="E68" s="2" t="n">
        <x:v>0</x:v>
      </x:c>
      <x:c r="F68" s="2"/>
      <x:c r="G68" s="2" t="n">
        <x:f>IF(AND('班次明細'!L8&gt;0,'班次明細'!G8&lt;=B68,'班次明細'!H8&gt;=C68),1,0)+IF(AND('班次明細'!L15&gt;0,'班次明細'!G15&lt;=B68,'班次明細'!H15&gt;=C68),1,0)+IF(AND('班次明細'!L22&gt;0,'班次明細'!G22&lt;=B68,'班次明細'!H22&gt;=C68),1,0)+IF(AND('班次明細'!L29&gt;0,'班次明細'!G29&lt;=B68,'班次明細'!H29&gt;=C68),1,0)+IF(AND('班次明細'!L36&gt;0,'班次明細'!G36&lt;=B68,'班次明細'!H36&gt;=C68),1,0)+IF(AND('班次明細'!L43&gt;0,'班次明細'!G43&lt;=B68,'班次明細'!H43&gt;=C68),1,0)+IF(AND('班次明細'!L50&gt;0,'班次明細'!G50&lt;=B68,'班次明細'!H50&gt;=C68),1,0)+IF(AND('班次明細'!L57&gt;0,'班次明細'!G57&lt;=B68,'班次明細'!H57&gt;=C68),1,0)+IF(AND('班次明細'!L64&gt;0,'班次明細'!G64&lt;=B68,'班次明細'!H64&gt;=C68),1,0)+IF(AND('班次明細'!L71&gt;0,'班次明細'!G71&lt;=B68,'班次明細'!H71&gt;=C68),1,0)+IF(AND('班次明細'!L78&gt;0,'班次明細'!G78&lt;=B68,'班次明細'!H78&gt;=C68),1,0)</x:f>
        <x:v>4</x:v>
      </x:c>
      <x:c r="H68" s="2" t="n">
        <x:f>MAX(0,E68-G68)</x:f>
        <x:v>0</x:v>
      </x:c>
      <x:c r="I68" s="2" t="n">
        <x:f>IF(F68="",0,MAX(0,G68-F68))</x:f>
        <x:v>0</x:v>
      </x:c>
      <x:c r="J68" s="2" t="n">
        <x:v>0</x:v>
      </x:c>
      <x:c r="K68" s="11" t="str">
        <x:v>—</x:v>
      </x:c>
      <x:c r="L68" s="11" t="str">
        <x:f>"營運參考"</x:f>
        <x:v>營運參考</x:v>
      </x:c>
    </x:row>
    <x:row r="69" ht="42" customHeight="1">
      <x:c r="A69" s="12" t="n">
        <x:v>46316</x:v>
      </x:c>
      <x:c r="B69" s="13" t="n">
        <x:v>0.7291666666666666</x:v>
      </x:c>
      <x:c r="C69" s="13" t="n">
        <x:v>0.75</x:v>
      </x:c>
      <x:c r="D69" s="2" t="str">
        <x:v>晚餐主崗</x:v>
      </x:c>
      <x:c r="E69" s="2" t="n">
        <x:v>5</x:v>
      </x:c>
      <x:c r="F69" s="2" t="n">
        <x:v>5</x:v>
      </x:c>
      <x:c r="G69" s="2" t="n">
        <x:f>IF(AND('班次明細'!L8&gt;0,'班次明細'!G8&lt;=B69,'班次明細'!H8&gt;=C69),1,0)+IF(AND('班次明細'!L15&gt;0,'班次明細'!G15&lt;=B69,'班次明細'!H15&gt;=C69),1,0)+IF(AND('班次明細'!L22&gt;0,'班次明細'!G22&lt;=B69,'班次明細'!H22&gt;=C69),1,0)+IF(AND('班次明細'!L29&gt;0,'班次明細'!G29&lt;=B69,'班次明細'!H29&gt;=C69),1,0)+IF(AND('班次明細'!L36&gt;0,'班次明細'!G36&lt;=B69,'班次明細'!H36&gt;=C69),1,0)+IF(AND('班次明細'!L43&gt;0,'班次明細'!G43&lt;=B69,'班次明細'!H43&gt;=C69),1,0)+IF(AND('班次明細'!L50&gt;0,'班次明細'!G50&lt;=B69,'班次明細'!H50&gt;=C69),1,0)+IF(AND('班次明細'!L57&gt;0,'班次明細'!G57&lt;=B69,'班次明細'!H57&gt;=C69),1,0)+IF(AND('班次明細'!L64&gt;0,'班次明細'!G64&lt;=B69,'班次明細'!H64&gt;=C69),1,0)+IF(AND('班次明細'!L71&gt;0,'班次明細'!G71&lt;=B69,'班次明細'!H71&gt;=C69),1,0)+IF(AND('班次明細'!L78&gt;0,'班次明細'!G78&lt;=B69,'班次明細'!H78&gt;=C69),1,0)</x:f>
        <x:v>4</x:v>
      </x:c>
      <x:c r="H69" s="2" t="n">
        <x:f>MAX(0,E69-G69)</x:f>
        <x:v>1</x:v>
      </x:c>
      <x:c r="I69" s="2" t="n">
        <x:f>IF(F69="",0,MAX(0,G69-F69))</x:f>
        <x:v>0</x:v>
      </x:c>
      <x:c r="J69" s="2" t="n">
        <x:f>IF((IF(RIGHT('班次明細'!O8,2)="外場",IF(AND('班次明細'!L8&gt;0,'班次明細'!G8&lt;=B69,'班次明細'!H8&gt;=C69),1,0),0)+IF(RIGHT('班次明細'!O15,2)="外場",IF(AND('班次明細'!L15&gt;0,'班次明細'!G15&lt;=B69,'班次明細'!H15&gt;=C69),1,0),0)+IF(RIGHT('班次明細'!O22,2)="外場",IF(AND('班次明細'!L22&gt;0,'班次明細'!G22&lt;=B69,'班次明細'!H22&gt;=C69),1,0),0)+IF(RIGHT('班次明細'!O29,2)="外場",IF(AND('班次明細'!L29&gt;0,'班次明細'!G29&lt;=B69,'班次明細'!H29&gt;=C69),1,0),0)+IF(RIGHT('班次明細'!O36,2)="外場",IF(AND('班次明細'!L36&gt;0,'班次明細'!G36&lt;=B69,'班次明細'!H36&gt;=C69),1,0),0)+IF(RIGHT('班次明細'!O43,2)="外場",IF(AND('班次明細'!L43&gt;0,'班次明細'!G43&lt;=B69,'班次明細'!H43&gt;=C69),1,0),0)+IF(RIGHT('班次明細'!O50,2)="外場",IF(AND('班次明細'!L50&gt;0,'班次明細'!G50&lt;=B69,'班次明細'!H50&gt;=C69),1,0),0)+IF(RIGHT('班次明細'!O57,2)="外場",IF(AND('班次明細'!L57&gt;0,'班次明細'!G57&lt;=B69,'班次明細'!H57&gt;=C69),1,0),0)+IF(RIGHT('班次明細'!O64,2)="外場",IF(AND('班次明細'!L64&gt;0,'班次明細'!G64&lt;=B69,'班次明細'!H64&gt;=C69),1,0),0)+IF(RIGHT('班次明細'!O71,2)="外場",IF(AND('班次明細'!L71&gt;0,'班次明細'!G71&lt;=B69,'班次明細'!H71&gt;=C69),1,0),0)+IF(RIGHT('班次明細'!O78,2)="外場",IF(AND('班次明細'!L78&gt;0,'班次明細'!G78&lt;=B69,'班次明細'!H78&gt;=C69),1,0),0))&gt;0,0,1)+IF((IF(RIGHT('班次明細'!O8,2)="吧台",IF(AND('班次明細'!L8&gt;0,'班次明細'!G8&lt;=B69,'班次明細'!H8&gt;=C69),1,0),0)+IF(RIGHT('班次明細'!O15,2)="吧台",IF(AND('班次明細'!L15&gt;0,'班次明細'!G15&lt;=B69,'班次明細'!H15&gt;=C69),1,0),0)+IF(RIGHT('班次明細'!O22,2)="吧台",IF(AND('班次明細'!L22&gt;0,'班次明細'!G22&lt;=B69,'班次明細'!H22&gt;=C69),1,0),0)+IF(RIGHT('班次明細'!O29,2)="吧台",IF(AND('班次明細'!L29&gt;0,'班次明細'!G29&lt;=B69,'班次明細'!H29&gt;=C69),1,0),0)+IF(RIGHT('班次明細'!O36,2)="吧台",IF(AND('班次明細'!L36&gt;0,'班次明細'!G36&lt;=B69,'班次明細'!H36&gt;=C69),1,0),0)+IF(RIGHT('班次明細'!O43,2)="吧台",IF(AND('班次明細'!L43&gt;0,'班次明細'!G43&lt;=B69,'班次明細'!H43&gt;=C69),1,0),0)+IF(RIGHT('班次明細'!O50,2)="吧台",IF(AND('班次明細'!L50&gt;0,'班次明細'!G50&lt;=B69,'班次明細'!H50&gt;=C69),1,0),0)+IF(RIGHT('班次明細'!O57,2)="吧台",IF(AND('班次明細'!L57&gt;0,'班次明細'!G57&lt;=B69,'班次明細'!H57&gt;=C69),1,0),0)+IF(RIGHT('班次明細'!O64,2)="吧台",IF(AND('班次明細'!L64&gt;0,'班次明細'!G64&lt;=B69,'班次明細'!H64&gt;=C69),1,0),0)+IF(RIGHT('班次明細'!O71,2)="吧台",IF(AND('班次明細'!L71&gt;0,'班次明細'!G71&lt;=B69,'班次明細'!H71&gt;=C69),1,0),0)+IF(RIGHT('班次明細'!O78,2)="吧台",IF(AND('班次明細'!L78&gt;0,'班次明細'!G78&lt;=B69,'班次明細'!H78&gt;=C69),1,0),0))&gt;0,0,1)+IF((IF(RIGHT('班次明細'!O8,2)="司爐",IF(AND('班次明細'!L8&gt;0,'班次明細'!G8&lt;=B69,'班次明細'!H8&gt;=C69),1,0),0)+IF(RIGHT('班次明細'!O15,2)="司爐",IF(AND('班次明細'!L15&gt;0,'班次明細'!G15&lt;=B69,'班次明細'!H15&gt;=C69),1,0),0)+IF(RIGHT('班次明細'!O22,2)="司爐",IF(AND('班次明細'!L22&gt;0,'班次明細'!G22&lt;=B69,'班次明細'!H22&gt;=C69),1,0),0)+IF(RIGHT('班次明細'!O29,2)="司爐",IF(AND('班次明細'!L29&gt;0,'班次明細'!G29&lt;=B69,'班次明細'!H29&gt;=C69),1,0),0)+IF(RIGHT('班次明細'!O36,2)="司爐",IF(AND('班次明細'!L36&gt;0,'班次明細'!G36&lt;=B69,'班次明細'!H36&gt;=C69),1,0),0)+IF(RIGHT('班次明細'!O43,2)="司爐",IF(AND('班次明細'!L43&gt;0,'班次明細'!G43&lt;=B69,'班次明細'!H43&gt;=C69),1,0),0)+IF(RIGHT('班次明細'!O50,2)="司爐",IF(AND('班次明細'!L50&gt;0,'班次明細'!G50&lt;=B69,'班次明細'!H50&gt;=C69),1,0),0)+IF(RIGHT('班次明細'!O57,2)="司爐",IF(AND('班次明細'!L57&gt;0,'班次明細'!G57&lt;=B69,'班次明細'!H57&gt;=C69),1,0),0)+IF(RIGHT('班次明細'!O64,2)="司爐",IF(AND('班次明細'!L64&gt;0,'班次明細'!G64&lt;=B69,'班次明細'!H64&gt;=C69),1,0),0)+IF(RIGHT('班次明細'!O71,2)="司爐",IF(AND('班次明細'!L71&gt;0,'班次明細'!G71&lt;=B69,'班次明細'!H71&gt;=C69),1,0),0)+IF(RIGHT('班次明細'!O78,2)="司爐",IF(AND('班次明細'!L78&gt;0,'班次明細'!G78&lt;=B69,'班次明細'!H78&gt;=C69),1,0),0))&gt;0,0,1)+IF((IF(RIGHT('班次明細'!O8,2)="料區",IF(AND('班次明細'!L8&gt;0,'班次明細'!G8&lt;=B69,'班次明細'!H8&gt;=C69),1,0),0)+IF(RIGHT('班次明細'!O15,2)="料區",IF(AND('班次明細'!L15&gt;0,'班次明細'!G15&lt;=B69,'班次明細'!H15&gt;=C69),1,0),0)+IF(RIGHT('班次明細'!O22,2)="料區",IF(AND('班次明細'!L22&gt;0,'班次明細'!G22&lt;=B69,'班次明細'!H22&gt;=C69),1,0),0)+IF(RIGHT('班次明細'!O29,2)="料區",IF(AND('班次明細'!L29&gt;0,'班次明細'!G29&lt;=B69,'班次明細'!H29&gt;=C69),1,0),0)+IF(RIGHT('班次明細'!O36,2)="料區",IF(AND('班次明細'!L36&gt;0,'班次明細'!G36&lt;=B69,'班次明細'!H36&gt;=C69),1,0),0)+IF(RIGHT('班次明細'!O43,2)="料區",IF(AND('班次明細'!L43&gt;0,'班次明細'!G43&lt;=B69,'班次明細'!H43&gt;=C69),1,0),0)+IF(RIGHT('班次明細'!O50,2)="料區",IF(AND('班次明細'!L50&gt;0,'班次明細'!G50&lt;=B69,'班次明細'!H50&gt;=C69),1,0),0)+IF(RIGHT('班次明細'!O57,2)="料區",IF(AND('班次明細'!L57&gt;0,'班次明細'!G57&lt;=B69,'班次明細'!H57&gt;=C69),1,0),0)+IF(RIGHT('班次明細'!O64,2)="料區",IF(AND('班次明細'!L64&gt;0,'班次明細'!G64&lt;=B69,'班次明細'!H64&gt;=C69),1,0),0)+IF(RIGHT('班次明細'!O71,2)="料區",IF(AND('班次明細'!L71&gt;0,'班次明細'!G71&lt;=B69,'班次明細'!H71&gt;=C69),1,0),0)+IF(RIGHT('班次明細'!O78,2)="料區",IF(AND('班次明細'!L78&gt;0,'班次明細'!G78&lt;=B69,'班次明細'!H78&gt;=C69),1,0),0))&gt;0,0,1)+IF((IF(RIGHT('班次明細'!O8,2)="炸區",IF(AND('班次明細'!L8&gt;0,'班次明細'!G8&lt;=B69,'班次明細'!H8&gt;=C69),1,0),0)+IF(RIGHT('班次明細'!O15,2)="炸區",IF(AND('班次明細'!L15&gt;0,'班次明細'!G15&lt;=B69,'班次明細'!H15&gt;=C69),1,0),0)+IF(RIGHT('班次明細'!O22,2)="炸區",IF(AND('班次明細'!L22&gt;0,'班次明細'!G22&lt;=B69,'班次明細'!H22&gt;=C69),1,0),0)+IF(RIGHT('班次明細'!O29,2)="炸區",IF(AND('班次明細'!L29&gt;0,'班次明細'!G29&lt;=B69,'班次明細'!H29&gt;=C69),1,0),0)+IF(RIGHT('班次明細'!O36,2)="炸區",IF(AND('班次明細'!L36&gt;0,'班次明細'!G36&lt;=B69,'班次明細'!H36&gt;=C69),1,0),0)+IF(RIGHT('班次明細'!O43,2)="炸區",IF(AND('班次明細'!L43&gt;0,'班次明細'!G43&lt;=B69,'班次明細'!H43&gt;=C69),1,0),0)+IF(RIGHT('班次明細'!O50,2)="炸區",IF(AND('班次明細'!L50&gt;0,'班次明細'!G50&lt;=B69,'班次明細'!H50&gt;=C69),1,0),0)+IF(RIGHT('班次明細'!O57,2)="炸區",IF(AND('班次明細'!L57&gt;0,'班次明細'!G57&lt;=B69,'班次明細'!H57&gt;=C69),1,0),0)+IF(RIGHT('班次明細'!O64,2)="炸區",IF(AND('班次明細'!L64&gt;0,'班次明細'!G64&lt;=B69,'班次明細'!H64&gt;=C69),1,0),0)+IF(RIGHT('班次明細'!O71,2)="炸區",IF(AND('班次明細'!L71&gt;0,'班次明細'!G71&lt;=B69,'班次明細'!H71&gt;=C69),1,0),0)+IF(RIGHT('班次明細'!O78,2)="炸區",IF(AND('班次明細'!L78&gt;0,'班次明細'!G78&lt;=B69,'班次明細'!H78&gt;=C69),1,0),0))&gt;0,0,1)</x:f>
        <x:v>1</x:v>
      </x:c>
      <x:c r="K69" s="11" t="str">
        <x:v>P01:炸區；P02:吧台；P04:外場；P10:司爐</x:v>
      </x:c>
      <x:c r="L69" s="11" t="str">
        <x:f>IF(OR(H69&gt;0,I69&gt;0,J69&gt;0),"缺口／超額待處理","主崗齊；休息待現場")</x:f>
        <x:v>缺口／超額待處理</x:v>
      </x:c>
    </x:row>
    <x:row r="70" ht="42" customHeight="1">
      <x:c r="A70" s="12" t="n">
        <x:v>46316</x:v>
      </x:c>
      <x:c r="B70" s="13" t="n">
        <x:v>0.75</x:v>
      </x:c>
      <x:c r="C70" s="13" t="n">
        <x:v>0.7708333333333334</x:v>
      </x:c>
      <x:c r="D70" s="2" t="str">
        <x:v>晚餐主崗</x:v>
      </x:c>
      <x:c r="E70" s="2" t="n">
        <x:v>5</x:v>
      </x:c>
      <x:c r="F70" s="2" t="n">
        <x:v>5</x:v>
      </x:c>
      <x:c r="G70" s="2" t="n">
        <x:f>IF(AND('班次明細'!L8&gt;0,'班次明細'!G8&lt;=B70,'班次明細'!H8&gt;=C70),1,0)+IF(AND('班次明細'!L15&gt;0,'班次明細'!G15&lt;=B70,'班次明細'!H15&gt;=C70),1,0)+IF(AND('班次明細'!L22&gt;0,'班次明細'!G22&lt;=B70,'班次明細'!H22&gt;=C70),1,0)+IF(AND('班次明細'!L29&gt;0,'班次明細'!G29&lt;=B70,'班次明細'!H29&gt;=C70),1,0)+IF(AND('班次明細'!L36&gt;0,'班次明細'!G36&lt;=B70,'班次明細'!H36&gt;=C70),1,0)+IF(AND('班次明細'!L43&gt;0,'班次明細'!G43&lt;=B70,'班次明細'!H43&gt;=C70),1,0)+IF(AND('班次明細'!L50&gt;0,'班次明細'!G50&lt;=B70,'班次明細'!H50&gt;=C70),1,0)+IF(AND('班次明細'!L57&gt;0,'班次明細'!G57&lt;=B70,'班次明細'!H57&gt;=C70),1,0)+IF(AND('班次明細'!L64&gt;0,'班次明細'!G64&lt;=B70,'班次明細'!H64&gt;=C70),1,0)+IF(AND('班次明細'!L71&gt;0,'班次明細'!G71&lt;=B70,'班次明細'!H71&gt;=C70),1,0)+IF(AND('班次明細'!L78&gt;0,'班次明細'!G78&lt;=B70,'班次明細'!H78&gt;=C70),1,0)</x:f>
        <x:v>5</x:v>
      </x:c>
      <x:c r="H70" s="2" t="n">
        <x:f>MAX(0,E70-G70)</x:f>
        <x:v>0</x:v>
      </x:c>
      <x:c r="I70" s="2" t="n">
        <x:f>IF(F70="",0,MAX(0,G70-F70))</x:f>
        <x:v>0</x:v>
      </x:c>
      <x:c r="J70" s="2" t="n">
        <x:f>IF((IF(RIGHT('班次明細'!O8,2)="外場",IF(AND('班次明細'!L8&gt;0,'班次明細'!G8&lt;=B70,'班次明細'!H8&gt;=C70),1,0),0)+IF(RIGHT('班次明細'!O15,2)="外場",IF(AND('班次明細'!L15&gt;0,'班次明細'!G15&lt;=B70,'班次明細'!H15&gt;=C70),1,0),0)+IF(RIGHT('班次明細'!O22,2)="外場",IF(AND('班次明細'!L22&gt;0,'班次明細'!G22&lt;=B70,'班次明細'!H22&gt;=C70),1,0),0)+IF(RIGHT('班次明細'!O29,2)="外場",IF(AND('班次明細'!L29&gt;0,'班次明細'!G29&lt;=B70,'班次明細'!H29&gt;=C70),1,0),0)+IF(RIGHT('班次明細'!O36,2)="外場",IF(AND('班次明細'!L36&gt;0,'班次明細'!G36&lt;=B70,'班次明細'!H36&gt;=C70),1,0),0)+IF(RIGHT('班次明細'!O43,2)="外場",IF(AND('班次明細'!L43&gt;0,'班次明細'!G43&lt;=B70,'班次明細'!H43&gt;=C70),1,0),0)+IF(RIGHT('班次明細'!O50,2)="外場",IF(AND('班次明細'!L50&gt;0,'班次明細'!G50&lt;=B70,'班次明細'!H50&gt;=C70),1,0),0)+IF(RIGHT('班次明細'!O57,2)="外場",IF(AND('班次明細'!L57&gt;0,'班次明細'!G57&lt;=B70,'班次明細'!H57&gt;=C70),1,0),0)+IF(RIGHT('班次明細'!O64,2)="外場",IF(AND('班次明細'!L64&gt;0,'班次明細'!G64&lt;=B70,'班次明細'!H64&gt;=C70),1,0),0)+IF(RIGHT('班次明細'!O71,2)="外場",IF(AND('班次明細'!L71&gt;0,'班次明細'!G71&lt;=B70,'班次明細'!H71&gt;=C70),1,0),0)+IF(RIGHT('班次明細'!O78,2)="外場",IF(AND('班次明細'!L78&gt;0,'班次明細'!G78&lt;=B70,'班次明細'!H78&gt;=C70),1,0),0))&gt;0,0,1)+IF((IF(RIGHT('班次明細'!O8,2)="吧台",IF(AND('班次明細'!L8&gt;0,'班次明細'!G8&lt;=B70,'班次明細'!H8&gt;=C70),1,0),0)+IF(RIGHT('班次明細'!O15,2)="吧台",IF(AND('班次明細'!L15&gt;0,'班次明細'!G15&lt;=B70,'班次明細'!H15&gt;=C70),1,0),0)+IF(RIGHT('班次明細'!O22,2)="吧台",IF(AND('班次明細'!L22&gt;0,'班次明細'!G22&lt;=B70,'班次明細'!H22&gt;=C70),1,0),0)+IF(RIGHT('班次明細'!O29,2)="吧台",IF(AND('班次明細'!L29&gt;0,'班次明細'!G29&lt;=B70,'班次明細'!H29&gt;=C70),1,0),0)+IF(RIGHT('班次明細'!O36,2)="吧台",IF(AND('班次明細'!L36&gt;0,'班次明細'!G36&lt;=B70,'班次明細'!H36&gt;=C70),1,0),0)+IF(RIGHT('班次明細'!O43,2)="吧台",IF(AND('班次明細'!L43&gt;0,'班次明細'!G43&lt;=B70,'班次明細'!H43&gt;=C70),1,0),0)+IF(RIGHT('班次明細'!O50,2)="吧台",IF(AND('班次明細'!L50&gt;0,'班次明細'!G50&lt;=B70,'班次明細'!H50&gt;=C70),1,0),0)+IF(RIGHT('班次明細'!O57,2)="吧台",IF(AND('班次明細'!L57&gt;0,'班次明細'!G57&lt;=B70,'班次明細'!H57&gt;=C70),1,0),0)+IF(RIGHT('班次明細'!O64,2)="吧台",IF(AND('班次明細'!L64&gt;0,'班次明細'!G64&lt;=B70,'班次明細'!H64&gt;=C70),1,0),0)+IF(RIGHT('班次明細'!O71,2)="吧台",IF(AND('班次明細'!L71&gt;0,'班次明細'!G71&lt;=B70,'班次明細'!H71&gt;=C70),1,0),0)+IF(RIGHT('班次明細'!O78,2)="吧台",IF(AND('班次明細'!L78&gt;0,'班次明細'!G78&lt;=B70,'班次明細'!H78&gt;=C70),1,0),0))&gt;0,0,1)+IF((IF(RIGHT('班次明細'!O8,2)="司爐",IF(AND('班次明細'!L8&gt;0,'班次明細'!G8&lt;=B70,'班次明細'!H8&gt;=C70),1,0),0)+IF(RIGHT('班次明細'!O15,2)="司爐",IF(AND('班次明細'!L15&gt;0,'班次明細'!G15&lt;=B70,'班次明細'!H15&gt;=C70),1,0),0)+IF(RIGHT('班次明細'!O22,2)="司爐",IF(AND('班次明細'!L22&gt;0,'班次明細'!G22&lt;=B70,'班次明細'!H22&gt;=C70),1,0),0)+IF(RIGHT('班次明細'!O29,2)="司爐",IF(AND('班次明細'!L29&gt;0,'班次明細'!G29&lt;=B70,'班次明細'!H29&gt;=C70),1,0),0)+IF(RIGHT('班次明細'!O36,2)="司爐",IF(AND('班次明細'!L36&gt;0,'班次明細'!G36&lt;=B70,'班次明細'!H36&gt;=C70),1,0),0)+IF(RIGHT('班次明細'!O43,2)="司爐",IF(AND('班次明細'!L43&gt;0,'班次明細'!G43&lt;=B70,'班次明細'!H43&gt;=C70),1,0),0)+IF(RIGHT('班次明細'!O50,2)="司爐",IF(AND('班次明細'!L50&gt;0,'班次明細'!G50&lt;=B70,'班次明細'!H50&gt;=C70),1,0),0)+IF(RIGHT('班次明細'!O57,2)="司爐",IF(AND('班次明細'!L57&gt;0,'班次明細'!G57&lt;=B70,'班次明細'!H57&gt;=C70),1,0),0)+IF(RIGHT('班次明細'!O64,2)="司爐",IF(AND('班次明細'!L64&gt;0,'班次明細'!G64&lt;=B70,'班次明細'!H64&gt;=C70),1,0),0)+IF(RIGHT('班次明細'!O71,2)="司爐",IF(AND('班次明細'!L71&gt;0,'班次明細'!G71&lt;=B70,'班次明細'!H71&gt;=C70),1,0),0)+IF(RIGHT('班次明細'!O78,2)="司爐",IF(AND('班次明細'!L78&gt;0,'班次明細'!G78&lt;=B70,'班次明細'!H78&gt;=C70),1,0),0))&gt;0,0,1)+IF((IF(RIGHT('班次明細'!O8,2)="料區",IF(AND('班次明細'!L8&gt;0,'班次明細'!G8&lt;=B70,'班次明細'!H8&gt;=C70),1,0),0)+IF(RIGHT('班次明細'!O15,2)="料區",IF(AND('班次明細'!L15&gt;0,'班次明細'!G15&lt;=B70,'班次明細'!H15&gt;=C70),1,0),0)+IF(RIGHT('班次明細'!O22,2)="料區",IF(AND('班次明細'!L22&gt;0,'班次明細'!G22&lt;=B70,'班次明細'!H22&gt;=C70),1,0),0)+IF(RIGHT('班次明細'!O29,2)="料區",IF(AND('班次明細'!L29&gt;0,'班次明細'!G29&lt;=B70,'班次明細'!H29&gt;=C70),1,0),0)+IF(RIGHT('班次明細'!O36,2)="料區",IF(AND('班次明細'!L36&gt;0,'班次明細'!G36&lt;=B70,'班次明細'!H36&gt;=C70),1,0),0)+IF(RIGHT('班次明細'!O43,2)="料區",IF(AND('班次明細'!L43&gt;0,'班次明細'!G43&lt;=B70,'班次明細'!H43&gt;=C70),1,0),0)+IF(RIGHT('班次明細'!O50,2)="料區",IF(AND('班次明細'!L50&gt;0,'班次明細'!G50&lt;=B70,'班次明細'!H50&gt;=C70),1,0),0)+IF(RIGHT('班次明細'!O57,2)="料區",IF(AND('班次明細'!L57&gt;0,'班次明細'!G57&lt;=B70,'班次明細'!H57&gt;=C70),1,0),0)+IF(RIGHT('班次明細'!O64,2)="料區",IF(AND('班次明細'!L64&gt;0,'班次明細'!G64&lt;=B70,'班次明細'!H64&gt;=C70),1,0),0)+IF(RIGHT('班次明細'!O71,2)="料區",IF(AND('班次明細'!L71&gt;0,'班次明細'!G71&lt;=B70,'班次明細'!H71&gt;=C70),1,0),0)+IF(RIGHT('班次明細'!O78,2)="料區",IF(AND('班次明細'!L78&gt;0,'班次明細'!G78&lt;=B70,'班次明細'!H78&gt;=C70),1,0),0))&gt;0,0,1)+IF((IF(RIGHT('班次明細'!O8,2)="炸區",IF(AND('班次明細'!L8&gt;0,'班次明細'!G8&lt;=B70,'班次明細'!H8&gt;=C70),1,0),0)+IF(RIGHT('班次明細'!O15,2)="炸區",IF(AND('班次明細'!L15&gt;0,'班次明細'!G15&lt;=B70,'班次明細'!H15&gt;=C70),1,0),0)+IF(RIGHT('班次明細'!O22,2)="炸區",IF(AND('班次明細'!L22&gt;0,'班次明細'!G22&lt;=B70,'班次明細'!H22&gt;=C70),1,0),0)+IF(RIGHT('班次明細'!O29,2)="炸區",IF(AND('班次明細'!L29&gt;0,'班次明細'!G29&lt;=B70,'班次明細'!H29&gt;=C70),1,0),0)+IF(RIGHT('班次明細'!O36,2)="炸區",IF(AND('班次明細'!L36&gt;0,'班次明細'!G36&lt;=B70,'班次明細'!H36&gt;=C70),1,0),0)+IF(RIGHT('班次明細'!O43,2)="炸區",IF(AND('班次明細'!L43&gt;0,'班次明細'!G43&lt;=B70,'班次明細'!H43&gt;=C70),1,0),0)+IF(RIGHT('班次明細'!O50,2)="炸區",IF(AND('班次明細'!L50&gt;0,'班次明細'!G50&lt;=B70,'班次明細'!H50&gt;=C70),1,0),0)+IF(RIGHT('班次明細'!O57,2)="炸區",IF(AND('班次明細'!L57&gt;0,'班次明細'!G57&lt;=B70,'班次明細'!H57&gt;=C70),1,0),0)+IF(RIGHT('班次明細'!O64,2)="炸區",IF(AND('班次明細'!L64&gt;0,'班次明細'!G64&lt;=B70,'班次明細'!H64&gt;=C70),1,0),0)+IF(RIGHT('班次明細'!O71,2)="炸區",IF(AND('班次明細'!L71&gt;0,'班次明細'!G71&lt;=B70,'班次明細'!H71&gt;=C70),1,0),0)+IF(RIGHT('班次明細'!O78,2)="炸區",IF(AND('班次明細'!L78&gt;0,'班次明細'!G78&lt;=B70,'班次明細'!H78&gt;=C70),1,0),0))&gt;0,0,1)</x:f>
        <x:v>0</x:v>
      </x:c>
      <x:c r="K70" s="11" t="str">
        <x:v>P01:炸區；P02:吧台；P04:外場；P06:料區；P10:司爐</x:v>
      </x:c>
      <x:c r="L70" s="11" t="str">
        <x:f>IF(OR(H70&gt;0,I70&gt;0,J70&gt;0),"缺口／超額待處理","主崗齊；休息待現場")</x:f>
        <x:v>主崗齊；休息待現場</x:v>
      </x:c>
    </x:row>
    <x:row r="71" ht="42" customHeight="1">
      <x:c r="A71" s="12" t="n">
        <x:v>46316</x:v>
      </x:c>
      <x:c r="B71" s="13" t="n">
        <x:v>0.7708333333333334</x:v>
      </x:c>
      <x:c r="C71" s="13" t="n">
        <x:v>0.7916666666666666</x:v>
      </x:c>
      <x:c r="D71" s="2" t="str">
        <x:v>晚餐主崗</x:v>
      </x:c>
      <x:c r="E71" s="2" t="n">
        <x:v>5</x:v>
      </x:c>
      <x:c r="F71" s="2" t="n">
        <x:v>5</x:v>
      </x:c>
      <x:c r="G71" s="2" t="n">
        <x:f>IF(AND('班次明細'!L8&gt;0,'班次明細'!G8&lt;=B71,'班次明細'!H8&gt;=C71),1,0)+IF(AND('班次明細'!L15&gt;0,'班次明細'!G15&lt;=B71,'班次明細'!H15&gt;=C71),1,0)+IF(AND('班次明細'!L22&gt;0,'班次明細'!G22&lt;=B71,'班次明細'!H22&gt;=C71),1,0)+IF(AND('班次明細'!L29&gt;0,'班次明細'!G29&lt;=B71,'班次明細'!H29&gt;=C71),1,0)+IF(AND('班次明細'!L36&gt;0,'班次明細'!G36&lt;=B71,'班次明細'!H36&gt;=C71),1,0)+IF(AND('班次明細'!L43&gt;0,'班次明細'!G43&lt;=B71,'班次明細'!H43&gt;=C71),1,0)+IF(AND('班次明細'!L50&gt;0,'班次明細'!G50&lt;=B71,'班次明細'!H50&gt;=C71),1,0)+IF(AND('班次明細'!L57&gt;0,'班次明細'!G57&lt;=B71,'班次明細'!H57&gt;=C71),1,0)+IF(AND('班次明細'!L64&gt;0,'班次明細'!G64&lt;=B71,'班次明細'!H64&gt;=C71),1,0)+IF(AND('班次明細'!L71&gt;0,'班次明細'!G71&lt;=B71,'班次明細'!H71&gt;=C71),1,0)+IF(AND('班次明細'!L78&gt;0,'班次明細'!G78&lt;=B71,'班次明細'!H78&gt;=C71),1,0)</x:f>
        <x:v>5</x:v>
      </x:c>
      <x:c r="H71" s="2" t="n">
        <x:f>MAX(0,E71-G71)</x:f>
        <x:v>0</x:v>
      </x:c>
      <x:c r="I71" s="2" t="n">
        <x:f>IF(F71="",0,MAX(0,G71-F71))</x:f>
        <x:v>0</x:v>
      </x:c>
      <x:c r="J71" s="2" t="n">
        <x:f>IF((IF(RIGHT('班次明細'!O8,2)="外場",IF(AND('班次明細'!L8&gt;0,'班次明細'!G8&lt;=B71,'班次明細'!H8&gt;=C71),1,0),0)+IF(RIGHT('班次明細'!O15,2)="外場",IF(AND('班次明細'!L15&gt;0,'班次明細'!G15&lt;=B71,'班次明細'!H15&gt;=C71),1,0),0)+IF(RIGHT('班次明細'!O22,2)="外場",IF(AND('班次明細'!L22&gt;0,'班次明細'!G22&lt;=B71,'班次明細'!H22&gt;=C71),1,0),0)+IF(RIGHT('班次明細'!O29,2)="外場",IF(AND('班次明細'!L29&gt;0,'班次明細'!G29&lt;=B71,'班次明細'!H29&gt;=C71),1,0),0)+IF(RIGHT('班次明細'!O36,2)="外場",IF(AND('班次明細'!L36&gt;0,'班次明細'!G36&lt;=B71,'班次明細'!H36&gt;=C71),1,0),0)+IF(RIGHT('班次明細'!O43,2)="外場",IF(AND('班次明細'!L43&gt;0,'班次明細'!G43&lt;=B71,'班次明細'!H43&gt;=C71),1,0),0)+IF(RIGHT('班次明細'!O50,2)="外場",IF(AND('班次明細'!L50&gt;0,'班次明細'!G50&lt;=B71,'班次明細'!H50&gt;=C71),1,0),0)+IF(RIGHT('班次明細'!O57,2)="外場",IF(AND('班次明細'!L57&gt;0,'班次明細'!G57&lt;=B71,'班次明細'!H57&gt;=C71),1,0),0)+IF(RIGHT('班次明細'!O64,2)="外場",IF(AND('班次明細'!L64&gt;0,'班次明細'!G64&lt;=B71,'班次明細'!H64&gt;=C71),1,0),0)+IF(RIGHT('班次明細'!O71,2)="外場",IF(AND('班次明細'!L71&gt;0,'班次明細'!G71&lt;=B71,'班次明細'!H71&gt;=C71),1,0),0)+IF(RIGHT('班次明細'!O78,2)="外場",IF(AND('班次明細'!L78&gt;0,'班次明細'!G78&lt;=B71,'班次明細'!H78&gt;=C71),1,0),0))&gt;0,0,1)+IF((IF(RIGHT('班次明細'!O8,2)="吧台",IF(AND('班次明細'!L8&gt;0,'班次明細'!G8&lt;=B71,'班次明細'!H8&gt;=C71),1,0),0)+IF(RIGHT('班次明細'!O15,2)="吧台",IF(AND('班次明細'!L15&gt;0,'班次明細'!G15&lt;=B71,'班次明細'!H15&gt;=C71),1,0),0)+IF(RIGHT('班次明細'!O22,2)="吧台",IF(AND('班次明細'!L22&gt;0,'班次明細'!G22&lt;=B71,'班次明細'!H22&gt;=C71),1,0),0)+IF(RIGHT('班次明細'!O29,2)="吧台",IF(AND('班次明細'!L29&gt;0,'班次明細'!G29&lt;=B71,'班次明細'!H29&gt;=C71),1,0),0)+IF(RIGHT('班次明細'!O36,2)="吧台",IF(AND('班次明細'!L36&gt;0,'班次明細'!G36&lt;=B71,'班次明細'!H36&gt;=C71),1,0),0)+IF(RIGHT('班次明細'!O43,2)="吧台",IF(AND('班次明細'!L43&gt;0,'班次明細'!G43&lt;=B71,'班次明細'!H43&gt;=C71),1,0),0)+IF(RIGHT('班次明細'!O50,2)="吧台",IF(AND('班次明細'!L50&gt;0,'班次明細'!G50&lt;=B71,'班次明細'!H50&gt;=C71),1,0),0)+IF(RIGHT('班次明細'!O57,2)="吧台",IF(AND('班次明細'!L57&gt;0,'班次明細'!G57&lt;=B71,'班次明細'!H57&gt;=C71),1,0),0)+IF(RIGHT('班次明細'!O64,2)="吧台",IF(AND('班次明細'!L64&gt;0,'班次明細'!G64&lt;=B71,'班次明細'!H64&gt;=C71),1,0),0)+IF(RIGHT('班次明細'!O71,2)="吧台",IF(AND('班次明細'!L71&gt;0,'班次明細'!G71&lt;=B71,'班次明細'!H71&gt;=C71),1,0),0)+IF(RIGHT('班次明細'!O78,2)="吧台",IF(AND('班次明細'!L78&gt;0,'班次明細'!G78&lt;=B71,'班次明細'!H78&gt;=C71),1,0),0))&gt;0,0,1)+IF((IF(RIGHT('班次明細'!O8,2)="司爐",IF(AND('班次明細'!L8&gt;0,'班次明細'!G8&lt;=B71,'班次明細'!H8&gt;=C71),1,0),0)+IF(RIGHT('班次明細'!O15,2)="司爐",IF(AND('班次明細'!L15&gt;0,'班次明細'!G15&lt;=B71,'班次明細'!H15&gt;=C71),1,0),0)+IF(RIGHT('班次明細'!O22,2)="司爐",IF(AND('班次明細'!L22&gt;0,'班次明細'!G22&lt;=B71,'班次明細'!H22&gt;=C71),1,0),0)+IF(RIGHT('班次明細'!O29,2)="司爐",IF(AND('班次明細'!L29&gt;0,'班次明細'!G29&lt;=B71,'班次明細'!H29&gt;=C71),1,0),0)+IF(RIGHT('班次明細'!O36,2)="司爐",IF(AND('班次明細'!L36&gt;0,'班次明細'!G36&lt;=B71,'班次明細'!H36&gt;=C71),1,0),0)+IF(RIGHT('班次明細'!O43,2)="司爐",IF(AND('班次明細'!L43&gt;0,'班次明細'!G43&lt;=B71,'班次明細'!H43&gt;=C71),1,0),0)+IF(RIGHT('班次明細'!O50,2)="司爐",IF(AND('班次明細'!L50&gt;0,'班次明細'!G50&lt;=B71,'班次明細'!H50&gt;=C71),1,0),0)+IF(RIGHT('班次明細'!O57,2)="司爐",IF(AND('班次明細'!L57&gt;0,'班次明細'!G57&lt;=B71,'班次明細'!H57&gt;=C71),1,0),0)+IF(RIGHT('班次明細'!O64,2)="司爐",IF(AND('班次明細'!L64&gt;0,'班次明細'!G64&lt;=B71,'班次明細'!H64&gt;=C71),1,0),0)+IF(RIGHT('班次明細'!O71,2)="司爐",IF(AND('班次明細'!L71&gt;0,'班次明細'!G71&lt;=B71,'班次明細'!H71&gt;=C71),1,0),0)+IF(RIGHT('班次明細'!O78,2)="司爐",IF(AND('班次明細'!L78&gt;0,'班次明細'!G78&lt;=B71,'班次明細'!H78&gt;=C71),1,0),0))&gt;0,0,1)+IF((IF(RIGHT('班次明細'!O8,2)="料區",IF(AND('班次明細'!L8&gt;0,'班次明細'!G8&lt;=B71,'班次明細'!H8&gt;=C71),1,0),0)+IF(RIGHT('班次明細'!O15,2)="料區",IF(AND('班次明細'!L15&gt;0,'班次明細'!G15&lt;=B71,'班次明細'!H15&gt;=C71),1,0),0)+IF(RIGHT('班次明細'!O22,2)="料區",IF(AND('班次明細'!L22&gt;0,'班次明細'!G22&lt;=B71,'班次明細'!H22&gt;=C71),1,0),0)+IF(RIGHT('班次明細'!O29,2)="料區",IF(AND('班次明細'!L29&gt;0,'班次明細'!G29&lt;=B71,'班次明細'!H29&gt;=C71),1,0),0)+IF(RIGHT('班次明細'!O36,2)="料區",IF(AND('班次明細'!L36&gt;0,'班次明細'!G36&lt;=B71,'班次明細'!H36&gt;=C71),1,0),0)+IF(RIGHT('班次明細'!O43,2)="料區",IF(AND('班次明細'!L43&gt;0,'班次明細'!G43&lt;=B71,'班次明細'!H43&gt;=C71),1,0),0)+IF(RIGHT('班次明細'!O50,2)="料區",IF(AND('班次明細'!L50&gt;0,'班次明細'!G50&lt;=B71,'班次明細'!H50&gt;=C71),1,0),0)+IF(RIGHT('班次明細'!O57,2)="料區",IF(AND('班次明細'!L57&gt;0,'班次明細'!G57&lt;=B71,'班次明細'!H57&gt;=C71),1,0),0)+IF(RIGHT('班次明細'!O64,2)="料區",IF(AND('班次明細'!L64&gt;0,'班次明細'!G64&lt;=B71,'班次明細'!H64&gt;=C71),1,0),0)+IF(RIGHT('班次明細'!O71,2)="料區",IF(AND('班次明細'!L71&gt;0,'班次明細'!G71&lt;=B71,'班次明細'!H71&gt;=C71),1,0),0)+IF(RIGHT('班次明細'!O78,2)="料區",IF(AND('班次明細'!L78&gt;0,'班次明細'!G78&lt;=B71,'班次明細'!H78&gt;=C71),1,0),0))&gt;0,0,1)+IF((IF(RIGHT('班次明細'!O8,2)="炸區",IF(AND('班次明細'!L8&gt;0,'班次明細'!G8&lt;=B71,'班次明細'!H8&gt;=C71),1,0),0)+IF(RIGHT('班次明細'!O15,2)="炸區",IF(AND('班次明細'!L15&gt;0,'班次明細'!G15&lt;=B71,'班次明細'!H15&gt;=C71),1,0),0)+IF(RIGHT('班次明細'!O22,2)="炸區",IF(AND('班次明細'!L22&gt;0,'班次明細'!G22&lt;=B71,'班次明細'!H22&gt;=C71),1,0),0)+IF(RIGHT('班次明細'!O29,2)="炸區",IF(AND('班次明細'!L29&gt;0,'班次明細'!G29&lt;=B71,'班次明細'!H29&gt;=C71),1,0),0)+IF(RIGHT('班次明細'!O36,2)="炸區",IF(AND('班次明細'!L36&gt;0,'班次明細'!G36&lt;=B71,'班次明細'!H36&gt;=C71),1,0),0)+IF(RIGHT('班次明細'!O43,2)="炸區",IF(AND('班次明細'!L43&gt;0,'班次明細'!G43&lt;=B71,'班次明細'!H43&gt;=C71),1,0),0)+IF(RIGHT('班次明細'!O50,2)="炸區",IF(AND('班次明細'!L50&gt;0,'班次明細'!G50&lt;=B71,'班次明細'!H50&gt;=C71),1,0),0)+IF(RIGHT('班次明細'!O57,2)="炸區",IF(AND('班次明細'!L57&gt;0,'班次明細'!G57&lt;=B71,'班次明細'!H57&gt;=C71),1,0),0)+IF(RIGHT('班次明細'!O64,2)="炸區",IF(AND('班次明細'!L64&gt;0,'班次明細'!G64&lt;=B71,'班次明細'!H64&gt;=C71),1,0),0)+IF(RIGHT('班次明細'!O71,2)="炸區",IF(AND('班次明細'!L71&gt;0,'班次明細'!G71&lt;=B71,'班次明細'!H71&gt;=C71),1,0),0)+IF(RIGHT('班次明細'!O78,2)="炸區",IF(AND('班次明細'!L78&gt;0,'班次明細'!G78&lt;=B71,'班次明細'!H78&gt;=C71),1,0),0))&gt;0,0,1)</x:f>
        <x:v>0</x:v>
      </x:c>
      <x:c r="K71" s="11" t="str">
        <x:v>P01:炸區；P02:吧台；P04:外場；P06:料區；P10:司爐</x:v>
      </x:c>
      <x:c r="L71" s="11" t="str">
        <x:f>IF(OR(H71&gt;0,I71&gt;0,J71&gt;0),"缺口／超額待處理","主崗齊；休息待現場")</x:f>
        <x:v>主崗齊；休息待現場</x:v>
      </x:c>
    </x:row>
    <x:row r="72" ht="42" customHeight="1">
      <x:c r="A72" s="12" t="n">
        <x:v>46316</x:v>
      </x:c>
      <x:c r="B72" s="13" t="n">
        <x:v>0.7916666666666666</x:v>
      </x:c>
      <x:c r="C72" s="13" t="n">
        <x:v>0.8125</x:v>
      </x:c>
      <x:c r="D72" s="2" t="str">
        <x:v>晚餐主崗</x:v>
      </x:c>
      <x:c r="E72" s="2" t="n">
        <x:v>5</x:v>
      </x:c>
      <x:c r="F72" s="2" t="n">
        <x:v>5</x:v>
      </x:c>
      <x:c r="G72" s="2" t="n">
        <x:f>IF(AND('班次明細'!L8&gt;0,'班次明細'!G8&lt;=B72,'班次明細'!H8&gt;=C72),1,0)+IF(AND('班次明細'!L15&gt;0,'班次明細'!G15&lt;=B72,'班次明細'!H15&gt;=C72),1,0)+IF(AND('班次明細'!L22&gt;0,'班次明細'!G22&lt;=B72,'班次明細'!H22&gt;=C72),1,0)+IF(AND('班次明細'!L29&gt;0,'班次明細'!G29&lt;=B72,'班次明細'!H29&gt;=C72),1,0)+IF(AND('班次明細'!L36&gt;0,'班次明細'!G36&lt;=B72,'班次明細'!H36&gt;=C72),1,0)+IF(AND('班次明細'!L43&gt;0,'班次明細'!G43&lt;=B72,'班次明細'!H43&gt;=C72),1,0)+IF(AND('班次明細'!L50&gt;0,'班次明細'!G50&lt;=B72,'班次明細'!H50&gt;=C72),1,0)+IF(AND('班次明細'!L57&gt;0,'班次明細'!G57&lt;=B72,'班次明細'!H57&gt;=C72),1,0)+IF(AND('班次明細'!L64&gt;0,'班次明細'!G64&lt;=B72,'班次明細'!H64&gt;=C72),1,0)+IF(AND('班次明細'!L71&gt;0,'班次明細'!G71&lt;=B72,'班次明細'!H71&gt;=C72),1,0)+IF(AND('班次明細'!L78&gt;0,'班次明細'!G78&lt;=B72,'班次明細'!H78&gt;=C72),1,0)</x:f>
        <x:v>5</x:v>
      </x:c>
      <x:c r="H72" s="2" t="n">
        <x:f>MAX(0,E72-G72)</x:f>
        <x:v>0</x:v>
      </x:c>
      <x:c r="I72" s="2" t="n">
        <x:f>IF(F72="",0,MAX(0,G72-F72))</x:f>
        <x:v>0</x:v>
      </x:c>
      <x:c r="J72" s="2" t="n">
        <x:f>IF((IF(RIGHT('班次明細'!O8,2)="外場",IF(AND('班次明細'!L8&gt;0,'班次明細'!G8&lt;=B72,'班次明細'!H8&gt;=C72),1,0),0)+IF(RIGHT('班次明細'!O15,2)="外場",IF(AND('班次明細'!L15&gt;0,'班次明細'!G15&lt;=B72,'班次明細'!H15&gt;=C72),1,0),0)+IF(RIGHT('班次明細'!O22,2)="外場",IF(AND('班次明細'!L22&gt;0,'班次明細'!G22&lt;=B72,'班次明細'!H22&gt;=C72),1,0),0)+IF(RIGHT('班次明細'!O29,2)="外場",IF(AND('班次明細'!L29&gt;0,'班次明細'!G29&lt;=B72,'班次明細'!H29&gt;=C72),1,0),0)+IF(RIGHT('班次明細'!O36,2)="外場",IF(AND('班次明細'!L36&gt;0,'班次明細'!G36&lt;=B72,'班次明細'!H36&gt;=C72),1,0),0)+IF(RIGHT('班次明細'!O43,2)="外場",IF(AND('班次明細'!L43&gt;0,'班次明細'!G43&lt;=B72,'班次明細'!H43&gt;=C72),1,0),0)+IF(RIGHT('班次明細'!O50,2)="外場",IF(AND('班次明細'!L50&gt;0,'班次明細'!G50&lt;=B72,'班次明細'!H50&gt;=C72),1,0),0)+IF(RIGHT('班次明細'!O57,2)="外場",IF(AND('班次明細'!L57&gt;0,'班次明細'!G57&lt;=B72,'班次明細'!H57&gt;=C72),1,0),0)+IF(RIGHT('班次明細'!O64,2)="外場",IF(AND('班次明細'!L64&gt;0,'班次明細'!G64&lt;=B72,'班次明細'!H64&gt;=C72),1,0),0)+IF(RIGHT('班次明細'!O71,2)="外場",IF(AND('班次明細'!L71&gt;0,'班次明細'!G71&lt;=B72,'班次明細'!H71&gt;=C72),1,0),0)+IF(RIGHT('班次明細'!O78,2)="外場",IF(AND('班次明細'!L78&gt;0,'班次明細'!G78&lt;=B72,'班次明細'!H78&gt;=C72),1,0),0))&gt;0,0,1)+IF((IF(RIGHT('班次明細'!O8,2)="吧台",IF(AND('班次明細'!L8&gt;0,'班次明細'!G8&lt;=B72,'班次明細'!H8&gt;=C72),1,0),0)+IF(RIGHT('班次明細'!O15,2)="吧台",IF(AND('班次明細'!L15&gt;0,'班次明細'!G15&lt;=B72,'班次明細'!H15&gt;=C72),1,0),0)+IF(RIGHT('班次明細'!O22,2)="吧台",IF(AND('班次明細'!L22&gt;0,'班次明細'!G22&lt;=B72,'班次明細'!H22&gt;=C72),1,0),0)+IF(RIGHT('班次明細'!O29,2)="吧台",IF(AND('班次明細'!L29&gt;0,'班次明細'!G29&lt;=B72,'班次明細'!H29&gt;=C72),1,0),0)+IF(RIGHT('班次明細'!O36,2)="吧台",IF(AND('班次明細'!L36&gt;0,'班次明細'!G36&lt;=B72,'班次明細'!H36&gt;=C72),1,0),0)+IF(RIGHT('班次明細'!O43,2)="吧台",IF(AND('班次明細'!L43&gt;0,'班次明細'!G43&lt;=B72,'班次明細'!H43&gt;=C72),1,0),0)+IF(RIGHT('班次明細'!O50,2)="吧台",IF(AND('班次明細'!L50&gt;0,'班次明細'!G50&lt;=B72,'班次明細'!H50&gt;=C72),1,0),0)+IF(RIGHT('班次明細'!O57,2)="吧台",IF(AND('班次明細'!L57&gt;0,'班次明細'!G57&lt;=B72,'班次明細'!H57&gt;=C72),1,0),0)+IF(RIGHT('班次明細'!O64,2)="吧台",IF(AND('班次明細'!L64&gt;0,'班次明細'!G64&lt;=B72,'班次明細'!H64&gt;=C72),1,0),0)+IF(RIGHT('班次明細'!O71,2)="吧台",IF(AND('班次明細'!L71&gt;0,'班次明細'!G71&lt;=B72,'班次明細'!H71&gt;=C72),1,0),0)+IF(RIGHT('班次明細'!O78,2)="吧台",IF(AND('班次明細'!L78&gt;0,'班次明細'!G78&lt;=B72,'班次明細'!H78&gt;=C72),1,0),0))&gt;0,0,1)+IF((IF(RIGHT('班次明細'!O8,2)="司爐",IF(AND('班次明細'!L8&gt;0,'班次明細'!G8&lt;=B72,'班次明細'!H8&gt;=C72),1,0),0)+IF(RIGHT('班次明細'!O15,2)="司爐",IF(AND('班次明細'!L15&gt;0,'班次明細'!G15&lt;=B72,'班次明細'!H15&gt;=C72),1,0),0)+IF(RIGHT('班次明細'!O22,2)="司爐",IF(AND('班次明細'!L22&gt;0,'班次明細'!G22&lt;=B72,'班次明細'!H22&gt;=C72),1,0),0)+IF(RIGHT('班次明細'!O29,2)="司爐",IF(AND('班次明細'!L29&gt;0,'班次明細'!G29&lt;=B72,'班次明細'!H29&gt;=C72),1,0),0)+IF(RIGHT('班次明細'!O36,2)="司爐",IF(AND('班次明細'!L36&gt;0,'班次明細'!G36&lt;=B72,'班次明細'!H36&gt;=C72),1,0),0)+IF(RIGHT('班次明細'!O43,2)="司爐",IF(AND('班次明細'!L43&gt;0,'班次明細'!G43&lt;=B72,'班次明細'!H43&gt;=C72),1,0),0)+IF(RIGHT('班次明細'!O50,2)="司爐",IF(AND('班次明細'!L50&gt;0,'班次明細'!G50&lt;=B72,'班次明細'!H50&gt;=C72),1,0),0)+IF(RIGHT('班次明細'!O57,2)="司爐",IF(AND('班次明細'!L57&gt;0,'班次明細'!G57&lt;=B72,'班次明細'!H57&gt;=C72),1,0),0)+IF(RIGHT('班次明細'!O64,2)="司爐",IF(AND('班次明細'!L64&gt;0,'班次明細'!G64&lt;=B72,'班次明細'!H64&gt;=C72),1,0),0)+IF(RIGHT('班次明細'!O71,2)="司爐",IF(AND('班次明細'!L71&gt;0,'班次明細'!G71&lt;=B72,'班次明細'!H71&gt;=C72),1,0),0)+IF(RIGHT('班次明細'!O78,2)="司爐",IF(AND('班次明細'!L78&gt;0,'班次明細'!G78&lt;=B72,'班次明細'!H78&gt;=C72),1,0),0))&gt;0,0,1)+IF((IF(RIGHT('班次明細'!O8,2)="料區",IF(AND('班次明細'!L8&gt;0,'班次明細'!G8&lt;=B72,'班次明細'!H8&gt;=C72),1,0),0)+IF(RIGHT('班次明細'!O15,2)="料區",IF(AND('班次明細'!L15&gt;0,'班次明細'!G15&lt;=B72,'班次明細'!H15&gt;=C72),1,0),0)+IF(RIGHT('班次明細'!O22,2)="料區",IF(AND('班次明細'!L22&gt;0,'班次明細'!G22&lt;=B72,'班次明細'!H22&gt;=C72),1,0),0)+IF(RIGHT('班次明細'!O29,2)="料區",IF(AND('班次明細'!L29&gt;0,'班次明細'!G29&lt;=B72,'班次明細'!H29&gt;=C72),1,0),0)+IF(RIGHT('班次明細'!O36,2)="料區",IF(AND('班次明細'!L36&gt;0,'班次明細'!G36&lt;=B72,'班次明細'!H36&gt;=C72),1,0),0)+IF(RIGHT('班次明細'!O43,2)="料區",IF(AND('班次明細'!L43&gt;0,'班次明細'!G43&lt;=B72,'班次明細'!H43&gt;=C72),1,0),0)+IF(RIGHT('班次明細'!O50,2)="料區",IF(AND('班次明細'!L50&gt;0,'班次明細'!G50&lt;=B72,'班次明細'!H50&gt;=C72),1,0),0)+IF(RIGHT('班次明細'!O57,2)="料區",IF(AND('班次明細'!L57&gt;0,'班次明細'!G57&lt;=B72,'班次明細'!H57&gt;=C72),1,0),0)+IF(RIGHT('班次明細'!O64,2)="料區",IF(AND('班次明細'!L64&gt;0,'班次明細'!G64&lt;=B72,'班次明細'!H64&gt;=C72),1,0),0)+IF(RIGHT('班次明細'!O71,2)="料區",IF(AND('班次明細'!L71&gt;0,'班次明細'!G71&lt;=B72,'班次明細'!H71&gt;=C72),1,0),0)+IF(RIGHT('班次明細'!O78,2)="料區",IF(AND('班次明細'!L78&gt;0,'班次明細'!G78&lt;=B72,'班次明細'!H78&gt;=C72),1,0),0))&gt;0,0,1)+IF((IF(RIGHT('班次明細'!O8,2)="炸區",IF(AND('班次明細'!L8&gt;0,'班次明細'!G8&lt;=B72,'班次明細'!H8&gt;=C72),1,0),0)+IF(RIGHT('班次明細'!O15,2)="炸區",IF(AND('班次明細'!L15&gt;0,'班次明細'!G15&lt;=B72,'班次明細'!H15&gt;=C72),1,0),0)+IF(RIGHT('班次明細'!O22,2)="炸區",IF(AND('班次明細'!L22&gt;0,'班次明細'!G22&lt;=B72,'班次明細'!H22&gt;=C72),1,0),0)+IF(RIGHT('班次明細'!O29,2)="炸區",IF(AND('班次明細'!L29&gt;0,'班次明細'!G29&lt;=B72,'班次明細'!H29&gt;=C72),1,0),0)+IF(RIGHT('班次明細'!O36,2)="炸區",IF(AND('班次明細'!L36&gt;0,'班次明細'!G36&lt;=B72,'班次明細'!H36&gt;=C72),1,0),0)+IF(RIGHT('班次明細'!O43,2)="炸區",IF(AND('班次明細'!L43&gt;0,'班次明細'!G43&lt;=B72,'班次明細'!H43&gt;=C72),1,0),0)+IF(RIGHT('班次明細'!O50,2)="炸區",IF(AND('班次明細'!L50&gt;0,'班次明細'!G50&lt;=B72,'班次明細'!H50&gt;=C72),1,0),0)+IF(RIGHT('班次明細'!O57,2)="炸區",IF(AND('班次明細'!L57&gt;0,'班次明細'!G57&lt;=B72,'班次明細'!H57&gt;=C72),1,0),0)+IF(RIGHT('班次明細'!O64,2)="炸區",IF(AND('班次明細'!L64&gt;0,'班次明細'!G64&lt;=B72,'班次明細'!H64&gt;=C72),1,0),0)+IF(RIGHT('班次明細'!O71,2)="炸區",IF(AND('班次明細'!L71&gt;0,'班次明細'!G71&lt;=B72,'班次明細'!H71&gt;=C72),1,0),0)+IF(RIGHT('班次明細'!O78,2)="炸區",IF(AND('班次明細'!L78&gt;0,'班次明細'!G78&lt;=B72,'班次明細'!H78&gt;=C72),1,0),0))&gt;0,0,1)</x:f>
        <x:v>0</x:v>
      </x:c>
      <x:c r="K72" s="11" t="str">
        <x:v>P01:炸區；P02:吧台；P04:外場；P06:料區；P10:司爐</x:v>
      </x:c>
      <x:c r="L72" s="11" t="str">
        <x:f>IF(OR(H72&gt;0,I72&gt;0,J72&gt;0),"缺口／超額待處理","主崗齊；休息待現場")</x:f>
        <x:v>主崗齊；休息待現場</x:v>
      </x:c>
    </x:row>
    <x:row r="73" ht="42" customHeight="1">
      <x:c r="A73" s="12" t="n">
        <x:v>46316</x:v>
      </x:c>
      <x:c r="B73" s="13" t="n">
        <x:v>0.8125</x:v>
      </x:c>
      <x:c r="C73" s="13" t="n">
        <x:v>0.8333333333333334</x:v>
      </x:c>
      <x:c r="D73" s="2" t="str">
        <x:v>營運參考</x:v>
      </x:c>
      <x:c r="E73" s="2" t="n">
        <x:v>0</x:v>
      </x:c>
      <x:c r="F73" s="2"/>
      <x:c r="G73" s="2" t="n">
        <x:f>IF(AND('班次明細'!L8&gt;0,'班次明細'!G8&lt;=B73,'班次明細'!H8&gt;=C73),1,0)+IF(AND('班次明細'!L15&gt;0,'班次明細'!G15&lt;=B73,'班次明細'!H15&gt;=C73),1,0)+IF(AND('班次明細'!L22&gt;0,'班次明細'!G22&lt;=B73,'班次明細'!H22&gt;=C73),1,0)+IF(AND('班次明細'!L29&gt;0,'班次明細'!G29&lt;=B73,'班次明細'!H29&gt;=C73),1,0)+IF(AND('班次明細'!L36&gt;0,'班次明細'!G36&lt;=B73,'班次明細'!H36&gt;=C73),1,0)+IF(AND('班次明細'!L43&gt;0,'班次明細'!G43&lt;=B73,'班次明細'!H43&gt;=C73),1,0)+IF(AND('班次明細'!L50&gt;0,'班次明細'!G50&lt;=B73,'班次明細'!H50&gt;=C73),1,0)+IF(AND('班次明細'!L57&gt;0,'班次明細'!G57&lt;=B73,'班次明細'!H57&gt;=C73),1,0)+IF(AND('班次明細'!L64&gt;0,'班次明細'!G64&lt;=B73,'班次明細'!H64&gt;=C73),1,0)+IF(AND('班次明細'!L71&gt;0,'班次明細'!G71&lt;=B73,'班次明細'!H71&gt;=C73),1,0)+IF(AND('班次明細'!L78&gt;0,'班次明細'!G78&lt;=B73,'班次明細'!H78&gt;=C73),1,0)</x:f>
        <x:v>5</x:v>
      </x:c>
      <x:c r="H73" s="2" t="n">
        <x:f>MAX(0,E73-G73)</x:f>
        <x:v>0</x:v>
      </x:c>
      <x:c r="I73" s="2" t="n">
        <x:f>IF(F73="",0,MAX(0,G73-F73))</x:f>
        <x:v>0</x:v>
      </x:c>
      <x:c r="J73" s="2" t="n">
        <x:v>0</x:v>
      </x:c>
      <x:c r="K73" s="11" t="str">
        <x:v>—</x:v>
      </x:c>
      <x:c r="L73" s="11" t="str">
        <x:f>"營運參考"</x:f>
        <x:v>營運參考</x:v>
      </x:c>
    </x:row>
    <x:row r="74" ht="42" customHeight="1">
      <x:c r="A74" s="12" t="n">
        <x:v>46316</x:v>
      </x:c>
      <x:c r="B74" s="13" t="n">
        <x:v>0.8333333333333334</x:v>
      </x:c>
      <x:c r="C74" s="13" t="n">
        <x:v>0.8541666666666666</x:v>
      </x:c>
      <x:c r="D74" s="2" t="str">
        <x:v>營運參考</x:v>
      </x:c>
      <x:c r="E74" s="2" t="n">
        <x:v>0</x:v>
      </x:c>
      <x:c r="F74" s="2"/>
      <x:c r="G74" s="2" t="n">
        <x:f>IF(AND('班次明細'!L8&gt;0,'班次明細'!G8&lt;=B74,'班次明細'!H8&gt;=C74),1,0)+IF(AND('班次明細'!L15&gt;0,'班次明細'!G15&lt;=B74,'班次明細'!H15&gt;=C74),1,0)+IF(AND('班次明細'!L22&gt;0,'班次明細'!G22&lt;=B74,'班次明細'!H22&gt;=C74),1,0)+IF(AND('班次明細'!L29&gt;0,'班次明細'!G29&lt;=B74,'班次明細'!H29&gt;=C74),1,0)+IF(AND('班次明細'!L36&gt;0,'班次明細'!G36&lt;=B74,'班次明細'!H36&gt;=C74),1,0)+IF(AND('班次明細'!L43&gt;0,'班次明細'!G43&lt;=B74,'班次明細'!H43&gt;=C74),1,0)+IF(AND('班次明細'!L50&gt;0,'班次明細'!G50&lt;=B74,'班次明細'!H50&gt;=C74),1,0)+IF(AND('班次明細'!L57&gt;0,'班次明細'!G57&lt;=B74,'班次明細'!H57&gt;=C74),1,0)+IF(AND('班次明細'!L64&gt;0,'班次明細'!G64&lt;=B74,'班次明細'!H64&gt;=C74),1,0)+IF(AND('班次明細'!L71&gt;0,'班次明細'!G71&lt;=B74,'班次明細'!H71&gt;=C74),1,0)+IF(AND('班次明細'!L78&gt;0,'班次明細'!G78&lt;=B74,'班次明細'!H78&gt;=C74),1,0)</x:f>
        <x:v>5</x:v>
      </x:c>
      <x:c r="H74" s="2" t="n">
        <x:f>MAX(0,E74-G74)</x:f>
        <x:v>0</x:v>
      </x:c>
      <x:c r="I74" s="2" t="n">
        <x:f>IF(F74="",0,MAX(0,G74-F74))</x:f>
        <x:v>0</x:v>
      </x:c>
      <x:c r="J74" s="2" t="n">
        <x:v>0</x:v>
      </x:c>
      <x:c r="K74" s="11" t="str">
        <x:v>—</x:v>
      </x:c>
      <x:c r="L74" s="11" t="str">
        <x:f>"營運參考"</x:f>
        <x:v>營運參考</x:v>
      </x:c>
    </x:row>
    <x:row r="75" ht="42" customHeight="1">
      <x:c r="A75" s="12" t="n">
        <x:v>46316</x:v>
      </x:c>
      <x:c r="B75" s="13" t="n">
        <x:v>0.8541666666666666</x:v>
      </x:c>
      <x:c r="C75" s="13" t="n">
        <x:v>0.875</x:v>
      </x:c>
      <x:c r="D75" s="2" t="str">
        <x:v>營運參考</x:v>
      </x:c>
      <x:c r="E75" s="2" t="n">
        <x:v>0</x:v>
      </x:c>
      <x:c r="F75" s="2"/>
      <x:c r="G75" s="2" t="n">
        <x:f>IF(AND('班次明細'!L8&gt;0,'班次明細'!G8&lt;=B75,'班次明細'!H8&gt;=C75),1,0)+IF(AND('班次明細'!L15&gt;0,'班次明細'!G15&lt;=B75,'班次明細'!H15&gt;=C75),1,0)+IF(AND('班次明細'!L22&gt;0,'班次明細'!G22&lt;=B75,'班次明細'!H22&gt;=C75),1,0)+IF(AND('班次明細'!L29&gt;0,'班次明細'!G29&lt;=B75,'班次明細'!H29&gt;=C75),1,0)+IF(AND('班次明細'!L36&gt;0,'班次明細'!G36&lt;=B75,'班次明細'!H36&gt;=C75),1,0)+IF(AND('班次明細'!L43&gt;0,'班次明細'!G43&lt;=B75,'班次明細'!H43&gt;=C75),1,0)+IF(AND('班次明細'!L50&gt;0,'班次明細'!G50&lt;=B75,'班次明細'!H50&gt;=C75),1,0)+IF(AND('班次明細'!L57&gt;0,'班次明細'!G57&lt;=B75,'班次明細'!H57&gt;=C75),1,0)+IF(AND('班次明細'!L64&gt;0,'班次明細'!G64&lt;=B75,'班次明細'!H64&gt;=C75),1,0)+IF(AND('班次明細'!L71&gt;0,'班次明細'!G71&lt;=B75,'班次明細'!H71&gt;=C75),1,0)+IF(AND('班次明細'!L78&gt;0,'班次明細'!G78&lt;=B75,'班次明細'!H78&gt;=C75),1,0)</x:f>
        <x:v>5</x:v>
      </x:c>
      <x:c r="H75" s="2" t="n">
        <x:f>MAX(0,E75-G75)</x:f>
        <x:v>0</x:v>
      </x:c>
      <x:c r="I75" s="2" t="n">
        <x:f>IF(F75="",0,MAX(0,G75-F75))</x:f>
        <x:v>0</x:v>
      </x:c>
      <x:c r="J75" s="2" t="n">
        <x:v>0</x:v>
      </x:c>
      <x:c r="K75" s="11" t="str">
        <x:v>—</x:v>
      </x:c>
      <x:c r="L75" s="11" t="str">
        <x:f>"營運參考"</x:f>
        <x:v>營運參考</x:v>
      </x:c>
    </x:row>
    <x:row r="76" ht="42" customHeight="1">
      <x:c r="A76" s="12" t="n">
        <x:v>46316</x:v>
      </x:c>
      <x:c r="B76" s="13" t="n">
        <x:v>0.875</x:v>
      </x:c>
      <x:c r="C76" s="13" t="n">
        <x:v>0.8958333333333334</x:v>
      </x:c>
      <x:c r="D76" s="2" t="str">
        <x:v>營運參考</x:v>
      </x:c>
      <x:c r="E76" s="2" t="n">
        <x:v>0</x:v>
      </x:c>
      <x:c r="F76" s="2"/>
      <x:c r="G76" s="2" t="n">
        <x:f>IF(AND('班次明細'!L8&gt;0,'班次明細'!G8&lt;=B76,'班次明細'!H8&gt;=C76),1,0)+IF(AND('班次明細'!L15&gt;0,'班次明細'!G15&lt;=B76,'班次明細'!H15&gt;=C76),1,0)+IF(AND('班次明細'!L22&gt;0,'班次明細'!G22&lt;=B76,'班次明細'!H22&gt;=C76),1,0)+IF(AND('班次明細'!L29&gt;0,'班次明細'!G29&lt;=B76,'班次明細'!H29&gt;=C76),1,0)+IF(AND('班次明細'!L36&gt;0,'班次明細'!G36&lt;=B76,'班次明細'!H36&gt;=C76),1,0)+IF(AND('班次明細'!L43&gt;0,'班次明細'!G43&lt;=B76,'班次明細'!H43&gt;=C76),1,0)+IF(AND('班次明細'!L50&gt;0,'班次明細'!G50&lt;=B76,'班次明細'!H50&gt;=C76),1,0)+IF(AND('班次明細'!L57&gt;0,'班次明細'!G57&lt;=B76,'班次明細'!H57&gt;=C76),1,0)+IF(AND('班次明細'!L64&gt;0,'班次明細'!G64&lt;=B76,'班次明細'!H64&gt;=C76),1,0)+IF(AND('班次明細'!L71&gt;0,'班次明細'!G71&lt;=B76,'班次明細'!H71&gt;=C76),1,0)+IF(AND('班次明細'!L78&gt;0,'班次明細'!G78&lt;=B76,'班次明細'!H78&gt;=C76),1,0)</x:f>
        <x:v>3</x:v>
      </x:c>
      <x:c r="H76" s="2" t="n">
        <x:f>MAX(0,E76-G76)</x:f>
        <x:v>0</x:v>
      </x:c>
      <x:c r="I76" s="2" t="n">
        <x:f>IF(F76="",0,MAX(0,G76-F76))</x:f>
        <x:v>0</x:v>
      </x:c>
      <x:c r="J76" s="2" t="n">
        <x:v>0</x:v>
      </x:c>
      <x:c r="K76" s="11" t="str">
        <x:v>—</x:v>
      </x:c>
      <x:c r="L76" s="11" t="str">
        <x:f>"營運參考"</x:f>
        <x:v>營運參考</x:v>
      </x:c>
    </x:row>
    <x:row r="77" ht="42" customHeight="1">
      <x:c r="A77" s="12" t="n">
        <x:v>46316</x:v>
      </x:c>
      <x:c r="B77" s="13" t="n">
        <x:v>0.8958333333333334</x:v>
      </x:c>
      <x:c r="C77" s="13" t="n">
        <x:v>0.9166666666666666</x:v>
      </x:c>
      <x:c r="D77" s="2" t="str">
        <x:v>營運參考</x:v>
      </x:c>
      <x:c r="E77" s="2" t="n">
        <x:v>0</x:v>
      </x:c>
      <x:c r="F77" s="2"/>
      <x:c r="G77" s="2" t="n">
        <x:f>IF(AND('班次明細'!L8&gt;0,'班次明細'!G8&lt;=B77,'班次明細'!H8&gt;=C77),1,0)+IF(AND('班次明細'!L15&gt;0,'班次明細'!G15&lt;=B77,'班次明細'!H15&gt;=C77),1,0)+IF(AND('班次明細'!L22&gt;0,'班次明細'!G22&lt;=B77,'班次明細'!H22&gt;=C77),1,0)+IF(AND('班次明細'!L29&gt;0,'班次明細'!G29&lt;=B77,'班次明細'!H29&gt;=C77),1,0)+IF(AND('班次明細'!L36&gt;0,'班次明細'!G36&lt;=B77,'班次明細'!H36&gt;=C77),1,0)+IF(AND('班次明細'!L43&gt;0,'班次明細'!G43&lt;=B77,'班次明細'!H43&gt;=C77),1,0)+IF(AND('班次明細'!L50&gt;0,'班次明細'!G50&lt;=B77,'班次明細'!H50&gt;=C77),1,0)+IF(AND('班次明細'!L57&gt;0,'班次明細'!G57&lt;=B77,'班次明細'!H57&gt;=C77),1,0)+IF(AND('班次明細'!L64&gt;0,'班次明細'!G64&lt;=B77,'班次明細'!H64&gt;=C77),1,0)+IF(AND('班次明細'!L71&gt;0,'班次明細'!G71&lt;=B77,'班次明細'!H71&gt;=C77),1,0)+IF(AND('班次明細'!L78&gt;0,'班次明細'!G78&lt;=B77,'班次明細'!H78&gt;=C77),1,0)</x:f>
        <x:v>1</x:v>
      </x:c>
      <x:c r="H77" s="2" t="n">
        <x:f>MAX(0,E77-G77)</x:f>
        <x:v>0</x:v>
      </x:c>
      <x:c r="I77" s="2" t="n">
        <x:f>IF(F77="",0,MAX(0,G77-F77))</x:f>
        <x:v>0</x:v>
      </x:c>
      <x:c r="J77" s="2" t="n">
        <x:v>0</x:v>
      </x:c>
      <x:c r="K77" s="11" t="str">
        <x:v>—</x:v>
      </x:c>
      <x:c r="L77" s="11" t="str">
        <x:f>"營運參考"</x:f>
        <x:v>營運參考</x:v>
      </x:c>
    </x:row>
    <x:row r="78" ht="42" customHeight="1">
      <x:c r="A78" s="12" t="n">
        <x:v>46317</x:v>
      </x:c>
      <x:c r="B78" s="13" t="n">
        <x:v>0.4166666666666667</x:v>
      </x:c>
      <x:c r="C78" s="13" t="n">
        <x:v>0.4375</x:v>
      </x:c>
      <x:c r="D78" s="2" t="str">
        <x:v>營運參考</x:v>
      </x:c>
      <x:c r="E78" s="2" t="n">
        <x:v>1</x:v>
      </x:c>
      <x:c r="F78" s="2"/>
      <x:c r="G78" s="2" t="n">
        <x:f>IF(AND('班次明細'!L9&gt;0,'班次明細'!G9&lt;=B78,'班次明細'!H9&gt;=C78),1,0)+IF(AND('班次明細'!L16&gt;0,'班次明細'!G16&lt;=B78,'班次明細'!H16&gt;=C78),1,0)+IF(AND('班次明細'!L23&gt;0,'班次明細'!G23&lt;=B78,'班次明細'!H23&gt;=C78),1,0)+IF(AND('班次明細'!L30&gt;0,'班次明細'!G30&lt;=B78,'班次明細'!H30&gt;=C78),1,0)+IF(AND('班次明細'!L37&gt;0,'班次明細'!G37&lt;=B78,'班次明細'!H37&gt;=C78),1,0)+IF(AND('班次明細'!L44&gt;0,'班次明細'!G44&lt;=B78,'班次明細'!H44&gt;=C78),1,0)+IF(AND('班次明細'!L51&gt;0,'班次明細'!G51&lt;=B78,'班次明細'!H51&gt;=C78),1,0)+IF(AND('班次明細'!L58&gt;0,'班次明細'!G58&lt;=B78,'班次明細'!H58&gt;=C78),1,0)+IF(AND('班次明細'!L65&gt;0,'班次明細'!G65&lt;=B78,'班次明細'!H65&gt;=C78),1,0)+IF(AND('班次明細'!L72&gt;0,'班次明細'!G72&lt;=B78,'班次明細'!H72&gt;=C78),1,0)+IF(AND('班次明細'!L79&gt;0,'班次明細'!G79&lt;=B78,'班次明細'!H79&gt;=C78),1,0)</x:f>
        <x:v>1</x:v>
      </x:c>
      <x:c r="H78" s="2" t="n">
        <x:f>MAX(0,E78-G78)</x:f>
        <x:v>0</x:v>
      </x:c>
      <x:c r="I78" s="2" t="n">
        <x:f>IF(F78="",0,MAX(0,G78-F78))</x:f>
        <x:v>0</x:v>
      </x:c>
      <x:c r="J78" s="2" t="n">
        <x:v>0</x:v>
      </x:c>
      <x:c r="K78" s="11" t="str">
        <x:v>—</x:v>
      </x:c>
      <x:c r="L78" s="11" t="str">
        <x:f>"營運參考"</x:f>
        <x:v>營運參考</x:v>
      </x:c>
    </x:row>
    <x:row r="79" ht="42" customHeight="1">
      <x:c r="A79" s="12" t="n">
        <x:v>46317</x:v>
      </x:c>
      <x:c r="B79" s="13" t="n">
        <x:v>0.4375</x:v>
      </x:c>
      <x:c r="C79" s="13" t="n">
        <x:v>0.4583333333333333</x:v>
      </x:c>
      <x:c r="D79" s="2" t="str">
        <x:v>營運參考</x:v>
      </x:c>
      <x:c r="E79" s="2" t="n">
        <x:v>1</x:v>
      </x:c>
      <x:c r="F79" s="2"/>
      <x:c r="G79" s="2" t="n">
        <x:f>IF(AND('班次明細'!L9&gt;0,'班次明細'!G9&lt;=B79,'班次明細'!H9&gt;=C79),1,0)+IF(AND('班次明細'!L16&gt;0,'班次明細'!G16&lt;=B79,'班次明細'!H16&gt;=C79),1,0)+IF(AND('班次明細'!L23&gt;0,'班次明細'!G23&lt;=B79,'班次明細'!H23&gt;=C79),1,0)+IF(AND('班次明細'!L30&gt;0,'班次明細'!G30&lt;=B79,'班次明細'!H30&gt;=C79),1,0)+IF(AND('班次明細'!L37&gt;0,'班次明細'!G37&lt;=B79,'班次明細'!H37&gt;=C79),1,0)+IF(AND('班次明細'!L44&gt;0,'班次明細'!G44&lt;=B79,'班次明細'!H44&gt;=C79),1,0)+IF(AND('班次明細'!L51&gt;0,'班次明細'!G51&lt;=B79,'班次明細'!H51&gt;=C79),1,0)+IF(AND('班次明細'!L58&gt;0,'班次明細'!G58&lt;=B79,'班次明細'!H58&gt;=C79),1,0)+IF(AND('班次明細'!L65&gt;0,'班次明細'!G65&lt;=B79,'班次明細'!H65&gt;=C79),1,0)+IF(AND('班次明細'!L72&gt;0,'班次明細'!G72&lt;=B79,'班次明細'!H72&gt;=C79),1,0)+IF(AND('班次明細'!L79&gt;0,'班次明細'!G79&lt;=B79,'班次明細'!H79&gt;=C79),1,0)</x:f>
        <x:v>1</x:v>
      </x:c>
      <x:c r="H79" s="2" t="n">
        <x:f>MAX(0,E79-G79)</x:f>
        <x:v>0</x:v>
      </x:c>
      <x:c r="I79" s="2" t="n">
        <x:f>IF(F79="",0,MAX(0,G79-F79))</x:f>
        <x:v>0</x:v>
      </x:c>
      <x:c r="J79" s="2" t="n">
        <x:v>0</x:v>
      </x:c>
      <x:c r="K79" s="11" t="str">
        <x:v>—</x:v>
      </x:c>
      <x:c r="L79" s="11" t="str">
        <x:f>"營運參考"</x:f>
        <x:v>營運參考</x:v>
      </x:c>
    </x:row>
    <x:row r="80" ht="42" customHeight="1">
      <x:c r="A80" s="12" t="n">
        <x:v>46317</x:v>
      </x:c>
      <x:c r="B80" s="13" t="n">
        <x:v>0.4583333333333333</x:v>
      </x:c>
      <x:c r="C80" s="13" t="n">
        <x:v>0.4791666666666667</x:v>
      </x:c>
      <x:c r="D80" s="2" t="str">
        <x:v>營運參考</x:v>
      </x:c>
      <x:c r="E80" s="2" t="n">
        <x:v>0</x:v>
      </x:c>
      <x:c r="F80" s="2"/>
      <x:c r="G80" s="2" t="n">
        <x:f>IF(AND('班次明細'!L9&gt;0,'班次明細'!G9&lt;=B80,'班次明細'!H9&gt;=C80),1,0)+IF(AND('班次明細'!L16&gt;0,'班次明細'!G16&lt;=B80,'班次明細'!H16&gt;=C80),1,0)+IF(AND('班次明細'!L23&gt;0,'班次明細'!G23&lt;=B80,'班次明細'!H23&gt;=C80),1,0)+IF(AND('班次明細'!L30&gt;0,'班次明細'!G30&lt;=B80,'班次明細'!H30&gt;=C80),1,0)+IF(AND('班次明細'!L37&gt;0,'班次明細'!G37&lt;=B80,'班次明細'!H37&gt;=C80),1,0)+IF(AND('班次明細'!L44&gt;0,'班次明細'!G44&lt;=B80,'班次明細'!H44&gt;=C80),1,0)+IF(AND('班次明細'!L51&gt;0,'班次明細'!G51&lt;=B80,'班次明細'!H51&gt;=C80),1,0)+IF(AND('班次明細'!L58&gt;0,'班次明細'!G58&lt;=B80,'班次明細'!H58&gt;=C80),1,0)+IF(AND('班次明細'!L65&gt;0,'班次明細'!G65&lt;=B80,'班次明細'!H65&gt;=C80),1,0)+IF(AND('班次明細'!L72&gt;0,'班次明細'!G72&lt;=B80,'班次明細'!H72&gt;=C80),1,0)+IF(AND('班次明細'!L79&gt;0,'班次明細'!G79&lt;=B80,'班次明細'!H79&gt;=C80),1,0)</x:f>
        <x:v>2</x:v>
      </x:c>
      <x:c r="H80" s="2" t="n">
        <x:f>MAX(0,E80-G80)</x:f>
        <x:v>0</x:v>
      </x:c>
      <x:c r="I80" s="2" t="n">
        <x:f>IF(F80="",0,MAX(0,G80-F80))</x:f>
        <x:v>0</x:v>
      </x:c>
      <x:c r="J80" s="2" t="n">
        <x:v>0</x:v>
      </x:c>
      <x:c r="K80" s="11" t="str">
        <x:v>—</x:v>
      </x:c>
      <x:c r="L80" s="11" t="str">
        <x:f>"營運參考"</x:f>
        <x:v>營運參考</x:v>
      </x:c>
    </x:row>
    <x:row r="81" ht="42" customHeight="1">
      <x:c r="A81" s="12" t="n">
        <x:v>46317</x:v>
      </x:c>
      <x:c r="B81" s="13" t="n">
        <x:v>0.4791666666666667</x:v>
      </x:c>
      <x:c r="C81" s="13" t="n">
        <x:v>0.5</x:v>
      </x:c>
      <x:c r="D81" s="2" t="str">
        <x:v>營運參考</x:v>
      </x:c>
      <x:c r="E81" s="2" t="n">
        <x:v>0</x:v>
      </x:c>
      <x:c r="F81" s="2"/>
      <x:c r="G81" s="2" t="n">
        <x:f>IF(AND('班次明細'!L9&gt;0,'班次明細'!G9&lt;=B81,'班次明細'!H9&gt;=C81),1,0)+IF(AND('班次明細'!L16&gt;0,'班次明細'!G16&lt;=B81,'班次明細'!H16&gt;=C81),1,0)+IF(AND('班次明細'!L23&gt;0,'班次明細'!G23&lt;=B81,'班次明細'!H23&gt;=C81),1,0)+IF(AND('班次明細'!L30&gt;0,'班次明細'!G30&lt;=B81,'班次明細'!H30&gt;=C81),1,0)+IF(AND('班次明細'!L37&gt;0,'班次明細'!G37&lt;=B81,'班次明細'!H37&gt;=C81),1,0)+IF(AND('班次明細'!L44&gt;0,'班次明細'!G44&lt;=B81,'班次明細'!H44&gt;=C81),1,0)+IF(AND('班次明細'!L51&gt;0,'班次明細'!G51&lt;=B81,'班次明細'!H51&gt;=C81),1,0)+IF(AND('班次明細'!L58&gt;0,'班次明細'!G58&lt;=B81,'班次明細'!H58&gt;=C81),1,0)+IF(AND('班次明細'!L65&gt;0,'班次明細'!G65&lt;=B81,'班次明細'!H65&gt;=C81),1,0)+IF(AND('班次明細'!L72&gt;0,'班次明細'!G72&lt;=B81,'班次明細'!H72&gt;=C81),1,0)+IF(AND('班次明細'!L79&gt;0,'班次明細'!G79&lt;=B81,'班次明細'!H79&gt;=C81),1,0)</x:f>
        <x:v>4</x:v>
      </x:c>
      <x:c r="H81" s="2" t="n">
        <x:f>MAX(0,E81-G81)</x:f>
        <x:v>0</x:v>
      </x:c>
      <x:c r="I81" s="2" t="n">
        <x:f>IF(F81="",0,MAX(0,G81-F81))</x:f>
        <x:v>0</x:v>
      </x:c>
      <x:c r="J81" s="2" t="n">
        <x:v>0</x:v>
      </x:c>
      <x:c r="K81" s="11" t="str">
        <x:v>—</x:v>
      </x:c>
      <x:c r="L81" s="11" t="str">
        <x:f>"營運參考"</x:f>
        <x:v>營運參考</x:v>
      </x:c>
    </x:row>
    <x:row r="82" ht="42" customHeight="1">
      <x:c r="A82" s="12" t="n">
        <x:v>46317</x:v>
      </x:c>
      <x:c r="B82" s="13" t="n">
        <x:v>0.5</x:v>
      </x:c>
      <x:c r="C82" s="13" t="n">
        <x:v>0.5208333333333334</x:v>
      </x:c>
      <x:c r="D82" s="2" t="str">
        <x:v>午餐主崗</x:v>
      </x:c>
      <x:c r="E82" s="2" t="n">
        <x:v>4</x:v>
      </x:c>
      <x:c r="F82" s="2" t="n">
        <x:v>4</x:v>
      </x:c>
      <x:c r="G82" s="2" t="n">
        <x:f>IF(AND('班次明細'!L9&gt;0,'班次明細'!G9&lt;=B82,'班次明細'!H9&gt;=C82),1,0)+IF(AND('班次明細'!L16&gt;0,'班次明細'!G16&lt;=B82,'班次明細'!H16&gt;=C82),1,0)+IF(AND('班次明細'!L23&gt;0,'班次明細'!G23&lt;=B82,'班次明細'!H23&gt;=C82),1,0)+IF(AND('班次明細'!L30&gt;0,'班次明細'!G30&lt;=B82,'班次明細'!H30&gt;=C82),1,0)+IF(AND('班次明細'!L37&gt;0,'班次明細'!G37&lt;=B82,'班次明細'!H37&gt;=C82),1,0)+IF(AND('班次明細'!L44&gt;0,'班次明細'!G44&lt;=B82,'班次明細'!H44&gt;=C82),1,0)+IF(AND('班次明細'!L51&gt;0,'班次明細'!G51&lt;=B82,'班次明細'!H51&gt;=C82),1,0)+IF(AND('班次明細'!L58&gt;0,'班次明細'!G58&lt;=B82,'班次明細'!H58&gt;=C82),1,0)+IF(AND('班次明細'!L65&gt;0,'班次明細'!G65&lt;=B82,'班次明細'!H65&gt;=C82),1,0)+IF(AND('班次明細'!L72&gt;0,'班次明細'!G72&lt;=B82,'班次明細'!H72&gt;=C82),1,0)+IF(AND('班次明細'!L79&gt;0,'班次明細'!G79&lt;=B82,'班次明細'!H79&gt;=C82),1,0)</x:f>
        <x:v>4</x:v>
      </x:c>
      <x:c r="H82" s="2" t="n">
        <x:f>MAX(0,E82-G82)</x:f>
        <x:v>0</x:v>
      </x:c>
      <x:c r="I82" s="2" t="n">
        <x:f>IF(F82="",0,MAX(0,G82-F82))</x:f>
        <x:v>0</x:v>
      </x:c>
      <x:c r="J82" s="2" t="n">
        <x:f>IF((IF(LEFT('班次明細'!O9,2)="外場",IF(AND('班次明細'!L9&gt;0,'班次明細'!G9&lt;=B82,'班次明細'!H9&gt;=C82),1,0),0)+IF(LEFT('班次明細'!O16,2)="外場",IF(AND('班次明細'!L16&gt;0,'班次明細'!G16&lt;=B82,'班次明細'!H16&gt;=C82),1,0),0)+IF(LEFT('班次明細'!O23,2)="外場",IF(AND('班次明細'!L23&gt;0,'班次明細'!G23&lt;=B82,'班次明細'!H23&gt;=C82),1,0),0)+IF(LEFT('班次明細'!O30,2)="外場",IF(AND('班次明細'!L30&gt;0,'班次明細'!G30&lt;=B82,'班次明細'!H30&gt;=C82),1,0),0)+IF(LEFT('班次明細'!O37,2)="外場",IF(AND('班次明細'!L37&gt;0,'班次明細'!G37&lt;=B82,'班次明細'!H37&gt;=C82),1,0),0)+IF(LEFT('班次明細'!O44,2)="外場",IF(AND('班次明細'!L44&gt;0,'班次明細'!G44&lt;=B82,'班次明細'!H44&gt;=C82),1,0),0)+IF(LEFT('班次明細'!O51,2)="外場",IF(AND('班次明細'!L51&gt;0,'班次明細'!G51&lt;=B82,'班次明細'!H51&gt;=C82),1,0),0)+IF(LEFT('班次明細'!O58,2)="外場",IF(AND('班次明細'!L58&gt;0,'班次明細'!G58&lt;=B82,'班次明細'!H58&gt;=C82),1,0),0)+IF(LEFT('班次明細'!O65,2)="外場",IF(AND('班次明細'!L65&gt;0,'班次明細'!G65&lt;=B82,'班次明細'!H65&gt;=C82),1,0),0)+IF(LEFT('班次明細'!O72,2)="外場",IF(AND('班次明細'!L72&gt;0,'班次明細'!G72&lt;=B82,'班次明細'!H72&gt;=C82),1,0),0)+IF(LEFT('班次明細'!O79,2)="外場",IF(AND('班次明細'!L79&gt;0,'班次明細'!G79&lt;=B82,'班次明細'!H79&gt;=C82),1,0),0))&gt;0,0,1)+IF((IF(LEFT('班次明細'!O9,2)="吧台",IF(AND('班次明細'!L9&gt;0,'班次明細'!G9&lt;=B82,'班次明細'!H9&gt;=C82),1,0),0)+IF(LEFT('班次明細'!O16,2)="吧台",IF(AND('班次明細'!L16&gt;0,'班次明細'!G16&lt;=B82,'班次明細'!H16&gt;=C82),1,0),0)+IF(LEFT('班次明細'!O23,2)="吧台",IF(AND('班次明細'!L23&gt;0,'班次明細'!G23&lt;=B82,'班次明細'!H23&gt;=C82),1,0),0)+IF(LEFT('班次明細'!O30,2)="吧台",IF(AND('班次明細'!L30&gt;0,'班次明細'!G30&lt;=B82,'班次明細'!H30&gt;=C82),1,0),0)+IF(LEFT('班次明細'!O37,2)="吧台",IF(AND('班次明細'!L37&gt;0,'班次明細'!G37&lt;=B82,'班次明細'!H37&gt;=C82),1,0),0)+IF(LEFT('班次明細'!O44,2)="吧台",IF(AND('班次明細'!L44&gt;0,'班次明細'!G44&lt;=B82,'班次明細'!H44&gt;=C82),1,0),0)+IF(LEFT('班次明細'!O51,2)="吧台",IF(AND('班次明細'!L51&gt;0,'班次明細'!G51&lt;=B82,'班次明細'!H51&gt;=C82),1,0),0)+IF(LEFT('班次明細'!O58,2)="吧台",IF(AND('班次明細'!L58&gt;0,'班次明細'!G58&lt;=B82,'班次明細'!H58&gt;=C82),1,0),0)+IF(LEFT('班次明細'!O65,2)="吧台",IF(AND('班次明細'!L65&gt;0,'班次明細'!G65&lt;=B82,'班次明細'!H65&gt;=C82),1,0),0)+IF(LEFT('班次明細'!O72,2)="吧台",IF(AND('班次明細'!L72&gt;0,'班次明細'!G72&lt;=B82,'班次明細'!H72&gt;=C82),1,0),0)+IF(LEFT('班次明細'!O79,2)="吧台",IF(AND('班次明細'!L79&gt;0,'班次明細'!G79&lt;=B82,'班次明細'!H79&gt;=C82),1,0),0))&gt;0,0,1)+MAX(0,2-(IF(LEFT('班次明細'!O9,2)="司爐",IF(AND('班次明細'!L9&gt;0,'班次明細'!G9&lt;=B82,'班次明細'!H9&gt;=C82),1,0),0)+IF(LEFT('班次明細'!O16,2)="司爐",IF(AND('班次明細'!L16&gt;0,'班次明細'!G16&lt;=B82,'班次明細'!H16&gt;=C82),1,0),0)+IF(LEFT('班次明細'!O23,2)="司爐",IF(AND('班次明細'!L23&gt;0,'班次明細'!G23&lt;=B82,'班次明細'!H23&gt;=C82),1,0),0)+IF(LEFT('班次明細'!O30,2)="司爐",IF(AND('班次明細'!L30&gt;0,'班次明細'!G30&lt;=B82,'班次明細'!H30&gt;=C82),1,0),0)+IF(LEFT('班次明細'!O37,2)="司爐",IF(AND('班次明細'!L37&gt;0,'班次明細'!G37&lt;=B82,'班次明細'!H37&gt;=C82),1,0),0)+IF(LEFT('班次明細'!O44,2)="司爐",IF(AND('班次明細'!L44&gt;0,'班次明細'!G44&lt;=B82,'班次明細'!H44&gt;=C82),1,0),0)+IF(LEFT('班次明細'!O51,2)="司爐",IF(AND('班次明細'!L51&gt;0,'班次明細'!G51&lt;=B82,'班次明細'!H51&gt;=C82),1,0),0)+IF(LEFT('班次明細'!O58,2)="司爐",IF(AND('班次明細'!L58&gt;0,'班次明細'!G58&lt;=B82,'班次明細'!H58&gt;=C82),1,0),0)+IF(LEFT('班次明細'!O65,2)="司爐",IF(AND('班次明細'!L65&gt;0,'班次明細'!G65&lt;=B82,'班次明細'!H65&gt;=C82),1,0),0)+IF(LEFT('班次明細'!O72,2)="司爐",IF(AND('班次明細'!L72&gt;0,'班次明細'!G72&lt;=B82,'班次明細'!H72&gt;=C82),1,0),0)+IF(LEFT('班次明細'!O79,2)="司爐",IF(AND('班次明細'!L79&gt;0,'班次明細'!G79&lt;=B82,'班次明細'!H79&gt;=C82),1,0),0)+IF(LEFT('班次明細'!O9,2)="料區",IF(AND('班次明細'!L9&gt;0,'班次明細'!G9&lt;=B82,'班次明細'!H9&gt;=C82),1,0),0)+IF(LEFT('班次明細'!O16,2)="料區",IF(AND('班次明細'!L16&gt;0,'班次明細'!G16&lt;=B82,'班次明細'!H16&gt;=C82),1,0),0)+IF(LEFT('班次明細'!O23,2)="料區",IF(AND('班次明細'!L23&gt;0,'班次明細'!G23&lt;=B82,'班次明細'!H23&gt;=C82),1,0),0)+IF(LEFT('班次明細'!O30,2)="料區",IF(AND('班次明細'!L30&gt;0,'班次明細'!G30&lt;=B82,'班次明細'!H30&gt;=C82),1,0),0)+IF(LEFT('班次明細'!O37,2)="料區",IF(AND('班次明細'!L37&gt;0,'班次明細'!G37&lt;=B82,'班次明細'!H37&gt;=C82),1,0),0)+IF(LEFT('班次明細'!O44,2)="料區",IF(AND('班次明細'!L44&gt;0,'班次明細'!G44&lt;=B82,'班次明細'!H44&gt;=C82),1,0),0)+IF(LEFT('班次明細'!O51,2)="料區",IF(AND('班次明細'!L51&gt;0,'班次明細'!G51&lt;=B82,'班次明細'!H51&gt;=C82),1,0),0)+IF(LEFT('班次明細'!O58,2)="料區",IF(AND('班次明細'!L58&gt;0,'班次明細'!G58&lt;=B82,'班次明細'!H58&gt;=C82),1,0),0)+IF(LEFT('班次明細'!O65,2)="料區",IF(AND('班次明細'!L65&gt;0,'班次明細'!G65&lt;=B82,'班次明細'!H65&gt;=C82),1,0),0)+IF(LEFT('班次明細'!O72,2)="料區",IF(AND('班次明細'!L72&gt;0,'班次明細'!G72&lt;=B82,'班次明細'!H72&gt;=C82),1,0),0)+IF(LEFT('班次明細'!O79,2)="料區",IF(AND('班次明細'!L79&gt;0,'班次明細'!G79&lt;=B82,'班次明細'!H79&gt;=C82),1,0),0)+IF(LEFT('班次明細'!O9,2)="炸區",IF(AND('班次明細'!L9&gt;0,'班次明細'!G9&lt;=B82,'班次明細'!H9&gt;=C82),1,0),0)+IF(LEFT('班次明細'!O16,2)="炸區",IF(AND('班次明細'!L16&gt;0,'班次明細'!G16&lt;=B82,'班次明細'!H16&gt;=C82),1,0),0)+IF(LEFT('班次明細'!O23,2)="炸區",IF(AND('班次明細'!L23&gt;0,'班次明細'!G23&lt;=B82,'班次明細'!H23&gt;=C82),1,0),0)+IF(LEFT('班次明細'!O30,2)="炸區",IF(AND('班次明細'!L30&gt;0,'班次明細'!G30&lt;=B82,'班次明細'!H30&gt;=C82),1,0),0)+IF(LEFT('班次明細'!O37,2)="炸區",IF(AND('班次明細'!L37&gt;0,'班次明細'!G37&lt;=B82,'班次明細'!H37&gt;=C82),1,0),0)+IF(LEFT('班次明細'!O44,2)="炸區",IF(AND('班次明細'!L44&gt;0,'班次明細'!G44&lt;=B82,'班次明細'!H44&gt;=C82),1,0),0)+IF(LEFT('班次明細'!O51,2)="炸區",IF(AND('班次明細'!L51&gt;0,'班次明細'!G51&lt;=B82,'班次明細'!H51&gt;=C82),1,0),0)+IF(LEFT('班次明細'!O58,2)="炸區",IF(AND('班次明細'!L58&gt;0,'班次明細'!G58&lt;=B82,'班次明細'!H58&gt;=C82),1,0),0)+IF(LEFT('班次明細'!O65,2)="炸區",IF(AND('班次明細'!L65&gt;0,'班次明細'!G65&lt;=B82,'班次明細'!H65&gt;=C82),1,0),0)+IF(LEFT('班次明細'!O72,2)="炸區",IF(AND('班次明細'!L72&gt;0,'班次明細'!G72&lt;=B82,'班次明細'!H72&gt;=C82),1,0),0)+IF(LEFT('班次明細'!O79,2)="炸區",IF(AND('班次明細'!L79&gt;0,'班次明細'!G79&lt;=B82,'班次明細'!H79&gt;=C82),1,0),0)))</x:f>
        <x:v>0</x:v>
      </x:c>
      <x:c r="K82" s="11" t="str">
        <x:v>P01:外場；P03:吧台；P08:司爐；P11:料區</x:v>
      </x:c>
      <x:c r="L82" s="11" t="str">
        <x:f>IF(OR(H82&gt;0,I82&gt;0,J82&gt;0),"缺口／超額待處理","主崗齊；休息待現場")</x:f>
        <x:v>主崗齊；休息待現場</x:v>
      </x:c>
    </x:row>
    <x:row r="83" ht="42" customHeight="1">
      <x:c r="A83" s="12" t="n">
        <x:v>46317</x:v>
      </x:c>
      <x:c r="B83" s="13" t="n">
        <x:v>0.5208333333333334</x:v>
      </x:c>
      <x:c r="C83" s="13" t="n">
        <x:v>0.5416666666666666</x:v>
      </x:c>
      <x:c r="D83" s="2" t="str">
        <x:v>午餐主崗</x:v>
      </x:c>
      <x:c r="E83" s="2" t="n">
        <x:v>4</x:v>
      </x:c>
      <x:c r="F83" s="2" t="n">
        <x:v>4</x:v>
      </x:c>
      <x:c r="G83" s="2" t="n">
        <x:f>IF(AND('班次明細'!L9&gt;0,'班次明細'!G9&lt;=B83,'班次明細'!H9&gt;=C83),1,0)+IF(AND('班次明細'!L16&gt;0,'班次明細'!G16&lt;=B83,'班次明細'!H16&gt;=C83),1,0)+IF(AND('班次明細'!L23&gt;0,'班次明細'!G23&lt;=B83,'班次明細'!H23&gt;=C83),1,0)+IF(AND('班次明細'!L30&gt;0,'班次明細'!G30&lt;=B83,'班次明細'!H30&gt;=C83),1,0)+IF(AND('班次明細'!L37&gt;0,'班次明細'!G37&lt;=B83,'班次明細'!H37&gt;=C83),1,0)+IF(AND('班次明細'!L44&gt;0,'班次明細'!G44&lt;=B83,'班次明細'!H44&gt;=C83),1,0)+IF(AND('班次明細'!L51&gt;0,'班次明細'!G51&lt;=B83,'班次明細'!H51&gt;=C83),1,0)+IF(AND('班次明細'!L58&gt;0,'班次明細'!G58&lt;=B83,'班次明細'!H58&gt;=C83),1,0)+IF(AND('班次明細'!L65&gt;0,'班次明細'!G65&lt;=B83,'班次明細'!H65&gt;=C83),1,0)+IF(AND('班次明細'!L72&gt;0,'班次明細'!G72&lt;=B83,'班次明細'!H72&gt;=C83),1,0)+IF(AND('班次明細'!L79&gt;0,'班次明細'!G79&lt;=B83,'班次明細'!H79&gt;=C83),1,0)</x:f>
        <x:v>4</x:v>
      </x:c>
      <x:c r="H83" s="2" t="n">
        <x:f>MAX(0,E83-G83)</x:f>
        <x:v>0</x:v>
      </x:c>
      <x:c r="I83" s="2" t="n">
        <x:f>IF(F83="",0,MAX(0,G83-F83))</x:f>
        <x:v>0</x:v>
      </x:c>
      <x:c r="J83" s="2" t="n">
        <x:f>IF((IF(LEFT('班次明細'!O9,2)="外場",IF(AND('班次明細'!L9&gt;0,'班次明細'!G9&lt;=B83,'班次明細'!H9&gt;=C83),1,0),0)+IF(LEFT('班次明細'!O16,2)="外場",IF(AND('班次明細'!L16&gt;0,'班次明細'!G16&lt;=B83,'班次明細'!H16&gt;=C83),1,0),0)+IF(LEFT('班次明細'!O23,2)="外場",IF(AND('班次明細'!L23&gt;0,'班次明細'!G23&lt;=B83,'班次明細'!H23&gt;=C83),1,0),0)+IF(LEFT('班次明細'!O30,2)="外場",IF(AND('班次明細'!L30&gt;0,'班次明細'!G30&lt;=B83,'班次明細'!H30&gt;=C83),1,0),0)+IF(LEFT('班次明細'!O37,2)="外場",IF(AND('班次明細'!L37&gt;0,'班次明細'!G37&lt;=B83,'班次明細'!H37&gt;=C83),1,0),0)+IF(LEFT('班次明細'!O44,2)="外場",IF(AND('班次明細'!L44&gt;0,'班次明細'!G44&lt;=B83,'班次明細'!H44&gt;=C83),1,0),0)+IF(LEFT('班次明細'!O51,2)="外場",IF(AND('班次明細'!L51&gt;0,'班次明細'!G51&lt;=B83,'班次明細'!H51&gt;=C83),1,0),0)+IF(LEFT('班次明細'!O58,2)="外場",IF(AND('班次明細'!L58&gt;0,'班次明細'!G58&lt;=B83,'班次明細'!H58&gt;=C83),1,0),0)+IF(LEFT('班次明細'!O65,2)="外場",IF(AND('班次明細'!L65&gt;0,'班次明細'!G65&lt;=B83,'班次明細'!H65&gt;=C83),1,0),0)+IF(LEFT('班次明細'!O72,2)="外場",IF(AND('班次明細'!L72&gt;0,'班次明細'!G72&lt;=B83,'班次明細'!H72&gt;=C83),1,0),0)+IF(LEFT('班次明細'!O79,2)="外場",IF(AND('班次明細'!L79&gt;0,'班次明細'!G79&lt;=B83,'班次明細'!H79&gt;=C83),1,0),0))&gt;0,0,1)+IF((IF(LEFT('班次明細'!O9,2)="吧台",IF(AND('班次明細'!L9&gt;0,'班次明細'!G9&lt;=B83,'班次明細'!H9&gt;=C83),1,0),0)+IF(LEFT('班次明細'!O16,2)="吧台",IF(AND('班次明細'!L16&gt;0,'班次明細'!G16&lt;=B83,'班次明細'!H16&gt;=C83),1,0),0)+IF(LEFT('班次明細'!O23,2)="吧台",IF(AND('班次明細'!L23&gt;0,'班次明細'!G23&lt;=B83,'班次明細'!H23&gt;=C83),1,0),0)+IF(LEFT('班次明細'!O30,2)="吧台",IF(AND('班次明細'!L30&gt;0,'班次明細'!G30&lt;=B83,'班次明細'!H30&gt;=C83),1,0),0)+IF(LEFT('班次明細'!O37,2)="吧台",IF(AND('班次明細'!L37&gt;0,'班次明細'!G37&lt;=B83,'班次明細'!H37&gt;=C83),1,0),0)+IF(LEFT('班次明細'!O44,2)="吧台",IF(AND('班次明細'!L44&gt;0,'班次明細'!G44&lt;=B83,'班次明細'!H44&gt;=C83),1,0),0)+IF(LEFT('班次明細'!O51,2)="吧台",IF(AND('班次明細'!L51&gt;0,'班次明細'!G51&lt;=B83,'班次明細'!H51&gt;=C83),1,0),0)+IF(LEFT('班次明細'!O58,2)="吧台",IF(AND('班次明細'!L58&gt;0,'班次明細'!G58&lt;=B83,'班次明細'!H58&gt;=C83),1,0),0)+IF(LEFT('班次明細'!O65,2)="吧台",IF(AND('班次明細'!L65&gt;0,'班次明細'!G65&lt;=B83,'班次明細'!H65&gt;=C83),1,0),0)+IF(LEFT('班次明細'!O72,2)="吧台",IF(AND('班次明細'!L72&gt;0,'班次明細'!G72&lt;=B83,'班次明細'!H72&gt;=C83),1,0),0)+IF(LEFT('班次明細'!O79,2)="吧台",IF(AND('班次明細'!L79&gt;0,'班次明細'!G79&lt;=B83,'班次明細'!H79&gt;=C83),1,0),0))&gt;0,0,1)+MAX(0,2-(IF(LEFT('班次明細'!O9,2)="司爐",IF(AND('班次明細'!L9&gt;0,'班次明細'!G9&lt;=B83,'班次明細'!H9&gt;=C83),1,0),0)+IF(LEFT('班次明細'!O16,2)="司爐",IF(AND('班次明細'!L16&gt;0,'班次明細'!G16&lt;=B83,'班次明細'!H16&gt;=C83),1,0),0)+IF(LEFT('班次明細'!O23,2)="司爐",IF(AND('班次明細'!L23&gt;0,'班次明細'!G23&lt;=B83,'班次明細'!H23&gt;=C83),1,0),0)+IF(LEFT('班次明細'!O30,2)="司爐",IF(AND('班次明細'!L30&gt;0,'班次明細'!G30&lt;=B83,'班次明細'!H30&gt;=C83),1,0),0)+IF(LEFT('班次明細'!O37,2)="司爐",IF(AND('班次明細'!L37&gt;0,'班次明細'!G37&lt;=B83,'班次明細'!H37&gt;=C83),1,0),0)+IF(LEFT('班次明細'!O44,2)="司爐",IF(AND('班次明細'!L44&gt;0,'班次明細'!G44&lt;=B83,'班次明細'!H44&gt;=C83),1,0),0)+IF(LEFT('班次明細'!O51,2)="司爐",IF(AND('班次明細'!L51&gt;0,'班次明細'!G51&lt;=B83,'班次明細'!H51&gt;=C83),1,0),0)+IF(LEFT('班次明細'!O58,2)="司爐",IF(AND('班次明細'!L58&gt;0,'班次明細'!G58&lt;=B83,'班次明細'!H58&gt;=C83),1,0),0)+IF(LEFT('班次明細'!O65,2)="司爐",IF(AND('班次明細'!L65&gt;0,'班次明細'!G65&lt;=B83,'班次明細'!H65&gt;=C83),1,0),0)+IF(LEFT('班次明細'!O72,2)="司爐",IF(AND('班次明細'!L72&gt;0,'班次明細'!G72&lt;=B83,'班次明細'!H72&gt;=C83),1,0),0)+IF(LEFT('班次明細'!O79,2)="司爐",IF(AND('班次明細'!L79&gt;0,'班次明細'!G79&lt;=B83,'班次明細'!H79&gt;=C83),1,0),0)+IF(LEFT('班次明細'!O9,2)="料區",IF(AND('班次明細'!L9&gt;0,'班次明細'!G9&lt;=B83,'班次明細'!H9&gt;=C83),1,0),0)+IF(LEFT('班次明細'!O16,2)="料區",IF(AND('班次明細'!L16&gt;0,'班次明細'!G16&lt;=B83,'班次明細'!H16&gt;=C83),1,0),0)+IF(LEFT('班次明細'!O23,2)="料區",IF(AND('班次明細'!L23&gt;0,'班次明細'!G23&lt;=B83,'班次明細'!H23&gt;=C83),1,0),0)+IF(LEFT('班次明細'!O30,2)="料區",IF(AND('班次明細'!L30&gt;0,'班次明細'!G30&lt;=B83,'班次明細'!H30&gt;=C83),1,0),0)+IF(LEFT('班次明細'!O37,2)="料區",IF(AND('班次明細'!L37&gt;0,'班次明細'!G37&lt;=B83,'班次明細'!H37&gt;=C83),1,0),0)+IF(LEFT('班次明細'!O44,2)="料區",IF(AND('班次明細'!L44&gt;0,'班次明細'!G44&lt;=B83,'班次明細'!H44&gt;=C83),1,0),0)+IF(LEFT('班次明細'!O51,2)="料區",IF(AND('班次明細'!L51&gt;0,'班次明細'!G51&lt;=B83,'班次明細'!H51&gt;=C83),1,0),0)+IF(LEFT('班次明細'!O58,2)="料區",IF(AND('班次明細'!L58&gt;0,'班次明細'!G58&lt;=B83,'班次明細'!H58&gt;=C83),1,0),0)+IF(LEFT('班次明細'!O65,2)="料區",IF(AND('班次明細'!L65&gt;0,'班次明細'!G65&lt;=B83,'班次明細'!H65&gt;=C83),1,0),0)+IF(LEFT('班次明細'!O72,2)="料區",IF(AND('班次明細'!L72&gt;0,'班次明細'!G72&lt;=B83,'班次明細'!H72&gt;=C83),1,0),0)+IF(LEFT('班次明細'!O79,2)="料區",IF(AND('班次明細'!L79&gt;0,'班次明細'!G79&lt;=B83,'班次明細'!H79&gt;=C83),1,0),0)+IF(LEFT('班次明細'!O9,2)="炸區",IF(AND('班次明細'!L9&gt;0,'班次明細'!G9&lt;=B83,'班次明細'!H9&gt;=C83),1,0),0)+IF(LEFT('班次明細'!O16,2)="炸區",IF(AND('班次明細'!L16&gt;0,'班次明細'!G16&lt;=B83,'班次明細'!H16&gt;=C83),1,0),0)+IF(LEFT('班次明細'!O23,2)="炸區",IF(AND('班次明細'!L23&gt;0,'班次明細'!G23&lt;=B83,'班次明細'!H23&gt;=C83),1,0),0)+IF(LEFT('班次明細'!O30,2)="炸區",IF(AND('班次明細'!L30&gt;0,'班次明細'!G30&lt;=B83,'班次明細'!H30&gt;=C83),1,0),0)+IF(LEFT('班次明細'!O37,2)="炸區",IF(AND('班次明細'!L37&gt;0,'班次明細'!G37&lt;=B83,'班次明細'!H37&gt;=C83),1,0),0)+IF(LEFT('班次明細'!O44,2)="炸區",IF(AND('班次明細'!L44&gt;0,'班次明細'!G44&lt;=B83,'班次明細'!H44&gt;=C83),1,0),0)+IF(LEFT('班次明細'!O51,2)="炸區",IF(AND('班次明細'!L51&gt;0,'班次明細'!G51&lt;=B83,'班次明細'!H51&gt;=C83),1,0),0)+IF(LEFT('班次明細'!O58,2)="炸區",IF(AND('班次明細'!L58&gt;0,'班次明細'!G58&lt;=B83,'班次明細'!H58&gt;=C83),1,0),0)+IF(LEFT('班次明細'!O65,2)="炸區",IF(AND('班次明細'!L65&gt;0,'班次明細'!G65&lt;=B83,'班次明細'!H65&gt;=C83),1,0),0)+IF(LEFT('班次明細'!O72,2)="炸區",IF(AND('班次明細'!L72&gt;0,'班次明細'!G72&lt;=B83,'班次明細'!H72&gt;=C83),1,0),0)+IF(LEFT('班次明細'!O79,2)="炸區",IF(AND('班次明細'!L79&gt;0,'班次明細'!G79&lt;=B83,'班次明細'!H79&gt;=C83),1,0),0)))</x:f>
        <x:v>0</x:v>
      </x:c>
      <x:c r="K83" s="11" t="str">
        <x:v>P01:外場；P03:吧台；P08:司爐；P11:料區</x:v>
      </x:c>
      <x:c r="L83" s="11" t="str">
        <x:f>IF(OR(H83&gt;0,I83&gt;0,J83&gt;0),"缺口／超額待處理","主崗齊；休息待現場")</x:f>
        <x:v>主崗齊；休息待現場</x:v>
      </x:c>
    </x:row>
    <x:row r="84" ht="42" customHeight="1">
      <x:c r="A84" s="12" t="n">
        <x:v>46317</x:v>
      </x:c>
      <x:c r="B84" s="13" t="n">
        <x:v>0.5416666666666666</x:v>
      </x:c>
      <x:c r="C84" s="13" t="n">
        <x:v>0.5625</x:v>
      </x:c>
      <x:c r="D84" s="2" t="str">
        <x:v>午餐主崗</x:v>
      </x:c>
      <x:c r="E84" s="2" t="n">
        <x:v>4</x:v>
      </x:c>
      <x:c r="F84" s="2" t="n">
        <x:v>4</x:v>
      </x:c>
      <x:c r="G84" s="2" t="n">
        <x:f>IF(AND('班次明細'!L9&gt;0,'班次明細'!G9&lt;=B84,'班次明細'!H9&gt;=C84),1,0)+IF(AND('班次明細'!L16&gt;0,'班次明細'!G16&lt;=B84,'班次明細'!H16&gt;=C84),1,0)+IF(AND('班次明細'!L23&gt;0,'班次明細'!G23&lt;=B84,'班次明細'!H23&gt;=C84),1,0)+IF(AND('班次明細'!L30&gt;0,'班次明細'!G30&lt;=B84,'班次明細'!H30&gt;=C84),1,0)+IF(AND('班次明細'!L37&gt;0,'班次明細'!G37&lt;=B84,'班次明細'!H37&gt;=C84),1,0)+IF(AND('班次明細'!L44&gt;0,'班次明細'!G44&lt;=B84,'班次明細'!H44&gt;=C84),1,0)+IF(AND('班次明細'!L51&gt;0,'班次明細'!G51&lt;=B84,'班次明細'!H51&gt;=C84),1,0)+IF(AND('班次明細'!L58&gt;0,'班次明細'!G58&lt;=B84,'班次明細'!H58&gt;=C84),1,0)+IF(AND('班次明細'!L65&gt;0,'班次明細'!G65&lt;=B84,'班次明細'!H65&gt;=C84),1,0)+IF(AND('班次明細'!L72&gt;0,'班次明細'!G72&lt;=B84,'班次明細'!H72&gt;=C84),1,0)+IF(AND('班次明細'!L79&gt;0,'班次明細'!G79&lt;=B84,'班次明細'!H79&gt;=C84),1,0)</x:f>
        <x:v>4</x:v>
      </x:c>
      <x:c r="H84" s="2" t="n">
        <x:f>MAX(0,E84-G84)</x:f>
        <x:v>0</x:v>
      </x:c>
      <x:c r="I84" s="2" t="n">
        <x:f>IF(F84="",0,MAX(0,G84-F84))</x:f>
        <x:v>0</x:v>
      </x:c>
      <x:c r="J84" s="2" t="n">
        <x:f>IF((IF(LEFT('班次明細'!O9,2)="外場",IF(AND('班次明細'!L9&gt;0,'班次明細'!G9&lt;=B84,'班次明細'!H9&gt;=C84),1,0),0)+IF(LEFT('班次明細'!O16,2)="外場",IF(AND('班次明細'!L16&gt;0,'班次明細'!G16&lt;=B84,'班次明細'!H16&gt;=C84),1,0),0)+IF(LEFT('班次明細'!O23,2)="外場",IF(AND('班次明細'!L23&gt;0,'班次明細'!G23&lt;=B84,'班次明細'!H23&gt;=C84),1,0),0)+IF(LEFT('班次明細'!O30,2)="外場",IF(AND('班次明細'!L30&gt;0,'班次明細'!G30&lt;=B84,'班次明細'!H30&gt;=C84),1,0),0)+IF(LEFT('班次明細'!O37,2)="外場",IF(AND('班次明細'!L37&gt;0,'班次明細'!G37&lt;=B84,'班次明細'!H37&gt;=C84),1,0),0)+IF(LEFT('班次明細'!O44,2)="外場",IF(AND('班次明細'!L44&gt;0,'班次明細'!G44&lt;=B84,'班次明細'!H44&gt;=C84),1,0),0)+IF(LEFT('班次明細'!O51,2)="外場",IF(AND('班次明細'!L51&gt;0,'班次明細'!G51&lt;=B84,'班次明細'!H51&gt;=C84),1,0),0)+IF(LEFT('班次明細'!O58,2)="外場",IF(AND('班次明細'!L58&gt;0,'班次明細'!G58&lt;=B84,'班次明細'!H58&gt;=C84),1,0),0)+IF(LEFT('班次明細'!O65,2)="外場",IF(AND('班次明細'!L65&gt;0,'班次明細'!G65&lt;=B84,'班次明細'!H65&gt;=C84),1,0),0)+IF(LEFT('班次明細'!O72,2)="外場",IF(AND('班次明細'!L72&gt;0,'班次明細'!G72&lt;=B84,'班次明細'!H72&gt;=C84),1,0),0)+IF(LEFT('班次明細'!O79,2)="外場",IF(AND('班次明細'!L79&gt;0,'班次明細'!G79&lt;=B84,'班次明細'!H79&gt;=C84),1,0),0))&gt;0,0,1)+IF((IF(LEFT('班次明細'!O9,2)="吧台",IF(AND('班次明細'!L9&gt;0,'班次明細'!G9&lt;=B84,'班次明細'!H9&gt;=C84),1,0),0)+IF(LEFT('班次明細'!O16,2)="吧台",IF(AND('班次明細'!L16&gt;0,'班次明細'!G16&lt;=B84,'班次明細'!H16&gt;=C84),1,0),0)+IF(LEFT('班次明細'!O23,2)="吧台",IF(AND('班次明細'!L23&gt;0,'班次明細'!G23&lt;=B84,'班次明細'!H23&gt;=C84),1,0),0)+IF(LEFT('班次明細'!O30,2)="吧台",IF(AND('班次明細'!L30&gt;0,'班次明細'!G30&lt;=B84,'班次明細'!H30&gt;=C84),1,0),0)+IF(LEFT('班次明細'!O37,2)="吧台",IF(AND('班次明細'!L37&gt;0,'班次明細'!G37&lt;=B84,'班次明細'!H37&gt;=C84),1,0),0)+IF(LEFT('班次明細'!O44,2)="吧台",IF(AND('班次明細'!L44&gt;0,'班次明細'!G44&lt;=B84,'班次明細'!H44&gt;=C84),1,0),0)+IF(LEFT('班次明細'!O51,2)="吧台",IF(AND('班次明細'!L51&gt;0,'班次明細'!G51&lt;=B84,'班次明細'!H51&gt;=C84),1,0),0)+IF(LEFT('班次明細'!O58,2)="吧台",IF(AND('班次明細'!L58&gt;0,'班次明細'!G58&lt;=B84,'班次明細'!H58&gt;=C84),1,0),0)+IF(LEFT('班次明細'!O65,2)="吧台",IF(AND('班次明細'!L65&gt;0,'班次明細'!G65&lt;=B84,'班次明細'!H65&gt;=C84),1,0),0)+IF(LEFT('班次明細'!O72,2)="吧台",IF(AND('班次明細'!L72&gt;0,'班次明細'!G72&lt;=B84,'班次明細'!H72&gt;=C84),1,0),0)+IF(LEFT('班次明細'!O79,2)="吧台",IF(AND('班次明細'!L79&gt;0,'班次明細'!G79&lt;=B84,'班次明細'!H79&gt;=C84),1,0),0))&gt;0,0,1)+MAX(0,2-(IF(LEFT('班次明細'!O9,2)="司爐",IF(AND('班次明細'!L9&gt;0,'班次明細'!G9&lt;=B84,'班次明細'!H9&gt;=C84),1,0),0)+IF(LEFT('班次明細'!O16,2)="司爐",IF(AND('班次明細'!L16&gt;0,'班次明細'!G16&lt;=B84,'班次明細'!H16&gt;=C84),1,0),0)+IF(LEFT('班次明細'!O23,2)="司爐",IF(AND('班次明細'!L23&gt;0,'班次明細'!G23&lt;=B84,'班次明細'!H23&gt;=C84),1,0),0)+IF(LEFT('班次明細'!O30,2)="司爐",IF(AND('班次明細'!L30&gt;0,'班次明細'!G30&lt;=B84,'班次明細'!H30&gt;=C84),1,0),0)+IF(LEFT('班次明細'!O37,2)="司爐",IF(AND('班次明細'!L37&gt;0,'班次明細'!G37&lt;=B84,'班次明細'!H37&gt;=C84),1,0),0)+IF(LEFT('班次明細'!O44,2)="司爐",IF(AND('班次明細'!L44&gt;0,'班次明細'!G44&lt;=B84,'班次明細'!H44&gt;=C84),1,0),0)+IF(LEFT('班次明細'!O51,2)="司爐",IF(AND('班次明細'!L51&gt;0,'班次明細'!G51&lt;=B84,'班次明細'!H51&gt;=C84),1,0),0)+IF(LEFT('班次明細'!O58,2)="司爐",IF(AND('班次明細'!L58&gt;0,'班次明細'!G58&lt;=B84,'班次明細'!H58&gt;=C84),1,0),0)+IF(LEFT('班次明細'!O65,2)="司爐",IF(AND('班次明細'!L65&gt;0,'班次明細'!G65&lt;=B84,'班次明細'!H65&gt;=C84),1,0),0)+IF(LEFT('班次明細'!O72,2)="司爐",IF(AND('班次明細'!L72&gt;0,'班次明細'!G72&lt;=B84,'班次明細'!H72&gt;=C84),1,0),0)+IF(LEFT('班次明細'!O79,2)="司爐",IF(AND('班次明細'!L79&gt;0,'班次明細'!G79&lt;=B84,'班次明細'!H79&gt;=C84),1,0),0)+IF(LEFT('班次明細'!O9,2)="料區",IF(AND('班次明細'!L9&gt;0,'班次明細'!G9&lt;=B84,'班次明細'!H9&gt;=C84),1,0),0)+IF(LEFT('班次明細'!O16,2)="料區",IF(AND('班次明細'!L16&gt;0,'班次明細'!G16&lt;=B84,'班次明細'!H16&gt;=C84),1,0),0)+IF(LEFT('班次明細'!O23,2)="料區",IF(AND('班次明細'!L23&gt;0,'班次明細'!G23&lt;=B84,'班次明細'!H23&gt;=C84),1,0),0)+IF(LEFT('班次明細'!O30,2)="料區",IF(AND('班次明細'!L30&gt;0,'班次明細'!G30&lt;=B84,'班次明細'!H30&gt;=C84),1,0),0)+IF(LEFT('班次明細'!O37,2)="料區",IF(AND('班次明細'!L37&gt;0,'班次明細'!G37&lt;=B84,'班次明細'!H37&gt;=C84),1,0),0)+IF(LEFT('班次明細'!O44,2)="料區",IF(AND('班次明細'!L44&gt;0,'班次明細'!G44&lt;=B84,'班次明細'!H44&gt;=C84),1,0),0)+IF(LEFT('班次明細'!O51,2)="料區",IF(AND('班次明細'!L51&gt;0,'班次明細'!G51&lt;=B84,'班次明細'!H51&gt;=C84),1,0),0)+IF(LEFT('班次明細'!O58,2)="料區",IF(AND('班次明細'!L58&gt;0,'班次明細'!G58&lt;=B84,'班次明細'!H58&gt;=C84),1,0),0)+IF(LEFT('班次明細'!O65,2)="料區",IF(AND('班次明細'!L65&gt;0,'班次明細'!G65&lt;=B84,'班次明細'!H65&gt;=C84),1,0),0)+IF(LEFT('班次明細'!O72,2)="料區",IF(AND('班次明細'!L72&gt;0,'班次明細'!G72&lt;=B84,'班次明細'!H72&gt;=C84),1,0),0)+IF(LEFT('班次明細'!O79,2)="料區",IF(AND('班次明細'!L79&gt;0,'班次明細'!G79&lt;=B84,'班次明細'!H79&gt;=C84),1,0),0)+IF(LEFT('班次明細'!O9,2)="炸區",IF(AND('班次明細'!L9&gt;0,'班次明細'!G9&lt;=B84,'班次明細'!H9&gt;=C84),1,0),0)+IF(LEFT('班次明細'!O16,2)="炸區",IF(AND('班次明細'!L16&gt;0,'班次明細'!G16&lt;=B84,'班次明細'!H16&gt;=C84),1,0),0)+IF(LEFT('班次明細'!O23,2)="炸區",IF(AND('班次明細'!L23&gt;0,'班次明細'!G23&lt;=B84,'班次明細'!H23&gt;=C84),1,0),0)+IF(LEFT('班次明細'!O30,2)="炸區",IF(AND('班次明細'!L30&gt;0,'班次明細'!G30&lt;=B84,'班次明細'!H30&gt;=C84),1,0),0)+IF(LEFT('班次明細'!O37,2)="炸區",IF(AND('班次明細'!L37&gt;0,'班次明細'!G37&lt;=B84,'班次明細'!H37&gt;=C84),1,0),0)+IF(LEFT('班次明細'!O44,2)="炸區",IF(AND('班次明細'!L44&gt;0,'班次明細'!G44&lt;=B84,'班次明細'!H44&gt;=C84),1,0),0)+IF(LEFT('班次明細'!O51,2)="炸區",IF(AND('班次明細'!L51&gt;0,'班次明細'!G51&lt;=B84,'班次明細'!H51&gt;=C84),1,0),0)+IF(LEFT('班次明細'!O58,2)="炸區",IF(AND('班次明細'!L58&gt;0,'班次明細'!G58&lt;=B84,'班次明細'!H58&gt;=C84),1,0),0)+IF(LEFT('班次明細'!O65,2)="炸區",IF(AND('班次明細'!L65&gt;0,'班次明細'!G65&lt;=B84,'班次明細'!H65&gt;=C84),1,0),0)+IF(LEFT('班次明細'!O72,2)="炸區",IF(AND('班次明細'!L72&gt;0,'班次明細'!G72&lt;=B84,'班次明細'!H72&gt;=C84),1,0),0)+IF(LEFT('班次明細'!O79,2)="炸區",IF(AND('班次明細'!L79&gt;0,'班次明細'!G79&lt;=B84,'班次明細'!H79&gt;=C84),1,0),0)))</x:f>
        <x:v>0</x:v>
      </x:c>
      <x:c r="K84" s="11" t="str">
        <x:v>P01:外場；P03:吧台；P08:司爐；P11:料區</x:v>
      </x:c>
      <x:c r="L84" s="11" t="str">
        <x:f>IF(OR(H84&gt;0,I84&gt;0,J84&gt;0),"缺口／超額待處理","主崗齊；休息待現場")</x:f>
        <x:v>主崗齊；休息待現場</x:v>
      </x:c>
    </x:row>
    <x:row r="85" ht="42" customHeight="1">
      <x:c r="A85" s="12" t="n">
        <x:v>46317</x:v>
      </x:c>
      <x:c r="B85" s="13" t="n">
        <x:v>0.5625</x:v>
      </x:c>
      <x:c r="C85" s="13" t="n">
        <x:v>0.5833333333333334</x:v>
      </x:c>
      <x:c r="D85" s="2" t="str">
        <x:v>營運參考</x:v>
      </x:c>
      <x:c r="E85" s="2" t="n">
        <x:v>0</x:v>
      </x:c>
      <x:c r="F85" s="2"/>
      <x:c r="G85" s="2" t="n">
        <x:f>IF(AND('班次明細'!L9&gt;0,'班次明細'!G9&lt;=B85,'班次明細'!H9&gt;=C85),1,0)+IF(AND('班次明細'!L16&gt;0,'班次明細'!G16&lt;=B85,'班次明細'!H16&gt;=C85),1,0)+IF(AND('班次明細'!L23&gt;0,'班次明細'!G23&lt;=B85,'班次明細'!H23&gt;=C85),1,0)+IF(AND('班次明細'!L30&gt;0,'班次明細'!G30&lt;=B85,'班次明細'!H30&gt;=C85),1,0)+IF(AND('班次明細'!L37&gt;0,'班次明細'!G37&lt;=B85,'班次明細'!H37&gt;=C85),1,0)+IF(AND('班次明細'!L44&gt;0,'班次明細'!G44&lt;=B85,'班次明細'!H44&gt;=C85),1,0)+IF(AND('班次明細'!L51&gt;0,'班次明細'!G51&lt;=B85,'班次明細'!H51&gt;=C85),1,0)+IF(AND('班次明細'!L58&gt;0,'班次明細'!G58&lt;=B85,'班次明細'!H58&gt;=C85),1,0)+IF(AND('班次明細'!L65&gt;0,'班次明細'!G65&lt;=B85,'班次明細'!H65&gt;=C85),1,0)+IF(AND('班次明細'!L72&gt;0,'班次明細'!G72&lt;=B85,'班次明細'!H72&gt;=C85),1,0)+IF(AND('班次明細'!L79&gt;0,'班次明細'!G79&lt;=B85,'班次明細'!H79&gt;=C85),1,0)</x:f>
        <x:v>4</x:v>
      </x:c>
      <x:c r="H85" s="2" t="n">
        <x:f>MAX(0,E85-G85)</x:f>
        <x:v>0</x:v>
      </x:c>
      <x:c r="I85" s="2" t="n">
        <x:f>IF(F85="",0,MAX(0,G85-F85))</x:f>
        <x:v>0</x:v>
      </x:c>
      <x:c r="J85" s="2" t="n">
        <x:v>0</x:v>
      </x:c>
      <x:c r="K85" s="11" t="str">
        <x:v>—</x:v>
      </x:c>
      <x:c r="L85" s="11" t="str">
        <x:f>"營運參考"</x:f>
        <x:v>營運參考</x:v>
      </x:c>
    </x:row>
    <x:row r="86" ht="42" customHeight="1">
      <x:c r="A86" s="12" t="n">
        <x:v>46317</x:v>
      </x:c>
      <x:c r="B86" s="13" t="n">
        <x:v>0.5833333333333334</x:v>
      </x:c>
      <x:c r="C86" s="13" t="n">
        <x:v>0.6041666666666666</x:v>
      </x:c>
      <x:c r="D86" s="2" t="str">
        <x:v>營運參考</x:v>
      </x:c>
      <x:c r="E86" s="2" t="n">
        <x:v>0</x:v>
      </x:c>
      <x:c r="F86" s="2"/>
      <x:c r="G86" s="2" t="n">
        <x:f>IF(AND('班次明細'!L9&gt;0,'班次明細'!G9&lt;=B86,'班次明細'!H9&gt;=C86),1,0)+IF(AND('班次明細'!L16&gt;0,'班次明細'!G16&lt;=B86,'班次明細'!H16&gt;=C86),1,0)+IF(AND('班次明細'!L23&gt;0,'班次明細'!G23&lt;=B86,'班次明細'!H23&gt;=C86),1,0)+IF(AND('班次明細'!L30&gt;0,'班次明細'!G30&lt;=B86,'班次明細'!H30&gt;=C86),1,0)+IF(AND('班次明細'!L37&gt;0,'班次明細'!G37&lt;=B86,'班次明細'!H37&gt;=C86),1,0)+IF(AND('班次明細'!L44&gt;0,'班次明細'!G44&lt;=B86,'班次明細'!H44&gt;=C86),1,0)+IF(AND('班次明細'!L51&gt;0,'班次明細'!G51&lt;=B86,'班次明細'!H51&gt;=C86),1,0)+IF(AND('班次明細'!L58&gt;0,'班次明細'!G58&lt;=B86,'班次明細'!H58&gt;=C86),1,0)+IF(AND('班次明細'!L65&gt;0,'班次明細'!G65&lt;=B86,'班次明細'!H65&gt;=C86),1,0)+IF(AND('班次明細'!L72&gt;0,'班次明細'!G72&lt;=B86,'班次明細'!H72&gt;=C86),1,0)+IF(AND('班次明細'!L79&gt;0,'班次明細'!G79&lt;=B86,'班次明細'!H79&gt;=C86),1,0)</x:f>
        <x:v>4</x:v>
      </x:c>
      <x:c r="H86" s="2" t="n">
        <x:f>MAX(0,E86-G86)</x:f>
        <x:v>0</x:v>
      </x:c>
      <x:c r="I86" s="2" t="n">
        <x:f>IF(F86="",0,MAX(0,G86-F86))</x:f>
        <x:v>0</x:v>
      </x:c>
      <x:c r="J86" s="2" t="n">
        <x:v>0</x:v>
      </x:c>
      <x:c r="K86" s="11" t="str">
        <x:v>—</x:v>
      </x:c>
      <x:c r="L86" s="11" t="str">
        <x:f>"營運參考"</x:f>
        <x:v>營運參考</x:v>
      </x:c>
    </x:row>
    <x:row r="87" ht="42" customHeight="1">
      <x:c r="A87" s="12" t="n">
        <x:v>46317</x:v>
      </x:c>
      <x:c r="B87" s="13" t="n">
        <x:v>0.6041666666666666</x:v>
      </x:c>
      <x:c r="C87" s="13" t="n">
        <x:v>0.625</x:v>
      </x:c>
      <x:c r="D87" s="2" t="str">
        <x:v>營運參考</x:v>
      </x:c>
      <x:c r="E87" s="2" t="n">
        <x:v>0</x:v>
      </x:c>
      <x:c r="F87" s="2"/>
      <x:c r="G87" s="2" t="n">
        <x:f>IF(AND('班次明細'!L9&gt;0,'班次明細'!G9&lt;=B87,'班次明細'!H9&gt;=C87),1,0)+IF(AND('班次明細'!L16&gt;0,'班次明細'!G16&lt;=B87,'班次明細'!H16&gt;=C87),1,0)+IF(AND('班次明細'!L23&gt;0,'班次明細'!G23&lt;=B87,'班次明細'!H23&gt;=C87),1,0)+IF(AND('班次明細'!L30&gt;0,'班次明細'!G30&lt;=B87,'班次明細'!H30&gt;=C87),1,0)+IF(AND('班次明細'!L37&gt;0,'班次明細'!G37&lt;=B87,'班次明細'!H37&gt;=C87),1,0)+IF(AND('班次明細'!L44&gt;0,'班次明細'!G44&lt;=B87,'班次明細'!H44&gt;=C87),1,0)+IF(AND('班次明細'!L51&gt;0,'班次明細'!G51&lt;=B87,'班次明細'!H51&gt;=C87),1,0)+IF(AND('班次明細'!L58&gt;0,'班次明細'!G58&lt;=B87,'班次明細'!H58&gt;=C87),1,0)+IF(AND('班次明細'!L65&gt;0,'班次明細'!G65&lt;=B87,'班次明細'!H65&gt;=C87),1,0)+IF(AND('班次明細'!L72&gt;0,'班次明細'!G72&lt;=B87,'班次明細'!H72&gt;=C87),1,0)+IF(AND('班次明細'!L79&gt;0,'班次明細'!G79&lt;=B87,'班次明細'!H79&gt;=C87),1,0)</x:f>
        <x:v>4</x:v>
      </x:c>
      <x:c r="H87" s="2" t="n">
        <x:f>MAX(0,E87-G87)</x:f>
        <x:v>0</x:v>
      </x:c>
      <x:c r="I87" s="2" t="n">
        <x:f>IF(F87="",0,MAX(0,G87-F87))</x:f>
        <x:v>0</x:v>
      </x:c>
      <x:c r="J87" s="2" t="n">
        <x:v>0</x:v>
      </x:c>
      <x:c r="K87" s="11" t="str">
        <x:v>—</x:v>
      </x:c>
      <x:c r="L87" s="11" t="str">
        <x:f>"營運參考"</x:f>
        <x:v>營運參考</x:v>
      </x:c>
    </x:row>
    <x:row r="88" ht="42" customHeight="1">
      <x:c r="A88" s="12" t="n">
        <x:v>46317</x:v>
      </x:c>
      <x:c r="B88" s="13" t="n">
        <x:v>0.625</x:v>
      </x:c>
      <x:c r="C88" s="13" t="n">
        <x:v>0.6458333333333334</x:v>
      </x:c>
      <x:c r="D88" s="2" t="str">
        <x:v>營運參考</x:v>
      </x:c>
      <x:c r="E88" s="2" t="n">
        <x:v>0</x:v>
      </x:c>
      <x:c r="F88" s="2"/>
      <x:c r="G88" s="2" t="n">
        <x:f>IF(AND('班次明細'!L9&gt;0,'班次明細'!G9&lt;=B88,'班次明細'!H9&gt;=C88),1,0)+IF(AND('班次明細'!L16&gt;0,'班次明細'!G16&lt;=B88,'班次明細'!H16&gt;=C88),1,0)+IF(AND('班次明細'!L23&gt;0,'班次明細'!G23&lt;=B88,'班次明細'!H23&gt;=C88),1,0)+IF(AND('班次明細'!L30&gt;0,'班次明細'!G30&lt;=B88,'班次明細'!H30&gt;=C88),1,0)+IF(AND('班次明細'!L37&gt;0,'班次明細'!G37&lt;=B88,'班次明細'!H37&gt;=C88),1,0)+IF(AND('班次明細'!L44&gt;0,'班次明細'!G44&lt;=B88,'班次明細'!H44&gt;=C88),1,0)+IF(AND('班次明細'!L51&gt;0,'班次明細'!G51&lt;=B88,'班次明細'!H51&gt;=C88),1,0)+IF(AND('班次明細'!L58&gt;0,'班次明細'!G58&lt;=B88,'班次明細'!H58&gt;=C88),1,0)+IF(AND('班次明細'!L65&gt;0,'班次明細'!G65&lt;=B88,'班次明細'!H65&gt;=C88),1,0)+IF(AND('班次明細'!L72&gt;0,'班次明細'!G72&lt;=B88,'班次明細'!H72&gt;=C88),1,0)+IF(AND('班次明細'!L79&gt;0,'班次明細'!G79&lt;=B88,'班次明細'!H79&gt;=C88),1,0)</x:f>
        <x:v>4</x:v>
      </x:c>
      <x:c r="H88" s="2" t="n">
        <x:f>MAX(0,E88-G88)</x:f>
        <x:v>0</x:v>
      </x:c>
      <x:c r="I88" s="2" t="n">
        <x:f>IF(F88="",0,MAX(0,G88-F88))</x:f>
        <x:v>0</x:v>
      </x:c>
      <x:c r="J88" s="2" t="n">
        <x:v>0</x:v>
      </x:c>
      <x:c r="K88" s="11" t="str">
        <x:v>—</x:v>
      </x:c>
      <x:c r="L88" s="11" t="str">
        <x:f>"營運參考"</x:f>
        <x:v>營運參考</x:v>
      </x:c>
    </x:row>
    <x:row r="89" ht="42" customHeight="1">
      <x:c r="A89" s="12" t="n">
        <x:v>46317</x:v>
      </x:c>
      <x:c r="B89" s="13" t="n">
        <x:v>0.6458333333333334</x:v>
      </x:c>
      <x:c r="C89" s="13" t="n">
        <x:v>0.6666666666666666</x:v>
      </x:c>
      <x:c r="D89" s="2" t="str">
        <x:v>營運參考</x:v>
      </x:c>
      <x:c r="E89" s="2" t="n">
        <x:v>0</x:v>
      </x:c>
      <x:c r="F89" s="2"/>
      <x:c r="G89" s="2" t="n">
        <x:f>IF(AND('班次明細'!L9&gt;0,'班次明細'!G9&lt;=B89,'班次明細'!H9&gt;=C89),1,0)+IF(AND('班次明細'!L16&gt;0,'班次明細'!G16&lt;=B89,'班次明細'!H16&gt;=C89),1,0)+IF(AND('班次明細'!L23&gt;0,'班次明細'!G23&lt;=B89,'班次明細'!H23&gt;=C89),1,0)+IF(AND('班次明細'!L30&gt;0,'班次明細'!G30&lt;=B89,'班次明細'!H30&gt;=C89),1,0)+IF(AND('班次明細'!L37&gt;0,'班次明細'!G37&lt;=B89,'班次明細'!H37&gt;=C89),1,0)+IF(AND('班次明細'!L44&gt;0,'班次明細'!G44&lt;=B89,'班次明細'!H44&gt;=C89),1,0)+IF(AND('班次明細'!L51&gt;0,'班次明細'!G51&lt;=B89,'班次明細'!H51&gt;=C89),1,0)+IF(AND('班次明細'!L58&gt;0,'班次明細'!G58&lt;=B89,'班次明細'!H58&gt;=C89),1,0)+IF(AND('班次明細'!L65&gt;0,'班次明細'!G65&lt;=B89,'班次明細'!H65&gt;=C89),1,0)+IF(AND('班次明細'!L72&gt;0,'班次明細'!G72&lt;=B89,'班次明細'!H72&gt;=C89),1,0)+IF(AND('班次明細'!L79&gt;0,'班次明細'!G79&lt;=B89,'班次明細'!H79&gt;=C89),1,0)</x:f>
        <x:v>3</x:v>
      </x:c>
      <x:c r="H89" s="2" t="n">
        <x:f>MAX(0,E89-G89)</x:f>
        <x:v>0</x:v>
      </x:c>
      <x:c r="I89" s="2" t="n">
        <x:f>IF(F89="",0,MAX(0,G89-F89))</x:f>
        <x:v>0</x:v>
      </x:c>
      <x:c r="J89" s="2" t="n">
        <x:v>0</x:v>
      </x:c>
      <x:c r="K89" s="11" t="str">
        <x:v>—</x:v>
      </x:c>
      <x:c r="L89" s="11" t="str">
        <x:f>"營運參考"</x:f>
        <x:v>營運參考</x:v>
      </x:c>
    </x:row>
    <x:row r="90" ht="42" customHeight="1">
      <x:c r="A90" s="12" t="n">
        <x:v>46317</x:v>
      </x:c>
      <x:c r="B90" s="13" t="n">
        <x:v>0.6666666666666666</x:v>
      </x:c>
      <x:c r="C90" s="13" t="n">
        <x:v>0.6875</x:v>
      </x:c>
      <x:c r="D90" s="2" t="str">
        <x:v>營運參考</x:v>
      </x:c>
      <x:c r="E90" s="2" t="n">
        <x:v>0</x:v>
      </x:c>
      <x:c r="F90" s="2"/>
      <x:c r="G90" s="2" t="n">
        <x:f>IF(AND('班次明細'!L9&gt;0,'班次明細'!G9&lt;=B90,'班次明細'!H9&gt;=C90),1,0)+IF(AND('班次明細'!L16&gt;0,'班次明細'!G16&lt;=B90,'班次明細'!H16&gt;=C90),1,0)+IF(AND('班次明細'!L23&gt;0,'班次明細'!G23&lt;=B90,'班次明細'!H23&gt;=C90),1,0)+IF(AND('班次明細'!L30&gt;0,'班次明細'!G30&lt;=B90,'班次明細'!H30&gt;=C90),1,0)+IF(AND('班次明細'!L37&gt;0,'班次明細'!G37&lt;=B90,'班次明細'!H37&gt;=C90),1,0)+IF(AND('班次明細'!L44&gt;0,'班次明細'!G44&lt;=B90,'班次明細'!H44&gt;=C90),1,0)+IF(AND('班次明細'!L51&gt;0,'班次明細'!G51&lt;=B90,'班次明細'!H51&gt;=C90),1,0)+IF(AND('班次明細'!L58&gt;0,'班次明細'!G58&lt;=B90,'班次明細'!H58&gt;=C90),1,0)+IF(AND('班次明細'!L65&gt;0,'班次明細'!G65&lt;=B90,'班次明細'!H65&gt;=C90),1,0)+IF(AND('班次明細'!L72&gt;0,'班次明細'!G72&lt;=B90,'班次明細'!H72&gt;=C90),1,0)+IF(AND('班次明細'!L79&gt;0,'班次明細'!G79&lt;=B90,'班次明細'!H79&gt;=C90),1,0)</x:f>
        <x:v>3</x:v>
      </x:c>
      <x:c r="H90" s="2" t="n">
        <x:f>MAX(0,E90-G90)</x:f>
        <x:v>0</x:v>
      </x:c>
      <x:c r="I90" s="2" t="n">
        <x:f>IF(F90="",0,MAX(0,G90-F90))</x:f>
        <x:v>0</x:v>
      </x:c>
      <x:c r="J90" s="2" t="n">
        <x:v>0</x:v>
      </x:c>
      <x:c r="K90" s="11" t="str">
        <x:v>—</x:v>
      </x:c>
      <x:c r="L90" s="11" t="str">
        <x:f>"營運參考"</x:f>
        <x:v>營運參考</x:v>
      </x:c>
    </x:row>
    <x:row r="91" ht="42" customHeight="1">
      <x:c r="A91" s="12" t="n">
        <x:v>46317</x:v>
      </x:c>
      <x:c r="B91" s="13" t="n">
        <x:v>0.6875</x:v>
      </x:c>
      <x:c r="C91" s="13" t="n">
        <x:v>0.7083333333333334</x:v>
      </x:c>
      <x:c r="D91" s="2" t="str">
        <x:v>營運參考</x:v>
      </x:c>
      <x:c r="E91" s="2" t="n">
        <x:v>0</x:v>
      </x:c>
      <x:c r="F91" s="2"/>
      <x:c r="G91" s="2" t="n">
        <x:f>IF(AND('班次明細'!L9&gt;0,'班次明細'!G9&lt;=B91,'班次明細'!H9&gt;=C91),1,0)+IF(AND('班次明細'!L16&gt;0,'班次明細'!G16&lt;=B91,'班次明細'!H16&gt;=C91),1,0)+IF(AND('班次明細'!L23&gt;0,'班次明細'!G23&lt;=B91,'班次明細'!H23&gt;=C91),1,0)+IF(AND('班次明細'!L30&gt;0,'班次明細'!G30&lt;=B91,'班次明細'!H30&gt;=C91),1,0)+IF(AND('班次明細'!L37&gt;0,'班次明細'!G37&lt;=B91,'班次明細'!H37&gt;=C91),1,0)+IF(AND('班次明細'!L44&gt;0,'班次明細'!G44&lt;=B91,'班次明細'!H44&gt;=C91),1,0)+IF(AND('班次明細'!L51&gt;0,'班次明細'!G51&lt;=B91,'班次明細'!H51&gt;=C91),1,0)+IF(AND('班次明細'!L58&gt;0,'班次明細'!G58&lt;=B91,'班次明細'!H58&gt;=C91),1,0)+IF(AND('班次明細'!L65&gt;0,'班次明細'!G65&lt;=B91,'班次明細'!H65&gt;=C91),1,0)+IF(AND('班次明細'!L72&gt;0,'班次明細'!G72&lt;=B91,'班次明細'!H72&gt;=C91),1,0)+IF(AND('班次明細'!L79&gt;0,'班次明細'!G79&lt;=B91,'班次明細'!H79&gt;=C91),1,0)</x:f>
        <x:v>3</x:v>
      </x:c>
      <x:c r="H91" s="2" t="n">
        <x:f>MAX(0,E91-G91)</x:f>
        <x:v>0</x:v>
      </x:c>
      <x:c r="I91" s="2" t="n">
        <x:f>IF(F91="",0,MAX(0,G91-F91))</x:f>
        <x:v>0</x:v>
      </x:c>
      <x:c r="J91" s="2" t="n">
        <x:v>0</x:v>
      </x:c>
      <x:c r="K91" s="11" t="str">
        <x:v>—</x:v>
      </x:c>
      <x:c r="L91" s="11" t="str">
        <x:f>"營運參考"</x:f>
        <x:v>營運參考</x:v>
      </x:c>
    </x:row>
    <x:row r="92" ht="42" customHeight="1">
      <x:c r="A92" s="12" t="n">
        <x:v>46317</x:v>
      </x:c>
      <x:c r="B92" s="13" t="n">
        <x:v>0.7083333333333334</x:v>
      </x:c>
      <x:c r="C92" s="13" t="n">
        <x:v>0.7291666666666666</x:v>
      </x:c>
      <x:c r="D92" s="2" t="str">
        <x:v>營運參考</x:v>
      </x:c>
      <x:c r="E92" s="2" t="n">
        <x:v>0</x:v>
      </x:c>
      <x:c r="F92" s="2"/>
      <x:c r="G92" s="2" t="n">
        <x:f>IF(AND('班次明細'!L9&gt;0,'班次明細'!G9&lt;=B92,'班次明細'!H9&gt;=C92),1,0)+IF(AND('班次明細'!L16&gt;0,'班次明細'!G16&lt;=B92,'班次明細'!H16&gt;=C92),1,0)+IF(AND('班次明細'!L23&gt;0,'班次明細'!G23&lt;=B92,'班次明細'!H23&gt;=C92),1,0)+IF(AND('班次明細'!L30&gt;0,'班次明細'!G30&lt;=B92,'班次明細'!H30&gt;=C92),1,0)+IF(AND('班次明細'!L37&gt;0,'班次明細'!G37&lt;=B92,'班次明細'!H37&gt;=C92),1,0)+IF(AND('班次明細'!L44&gt;0,'班次明細'!G44&lt;=B92,'班次明細'!H44&gt;=C92),1,0)+IF(AND('班次明細'!L51&gt;0,'班次明細'!G51&lt;=B92,'班次明細'!H51&gt;=C92),1,0)+IF(AND('班次明細'!L58&gt;0,'班次明細'!G58&lt;=B92,'班次明細'!H58&gt;=C92),1,0)+IF(AND('班次明細'!L65&gt;0,'班次明細'!G65&lt;=B92,'班次明細'!H65&gt;=C92),1,0)+IF(AND('班次明細'!L72&gt;0,'班次明細'!G72&lt;=B92,'班次明細'!H72&gt;=C92),1,0)+IF(AND('班次明細'!L79&gt;0,'班次明細'!G79&lt;=B92,'班次明細'!H79&gt;=C92),1,0)</x:f>
        <x:v>5</x:v>
      </x:c>
      <x:c r="H92" s="2" t="n">
        <x:f>MAX(0,E92-G92)</x:f>
        <x:v>0</x:v>
      </x:c>
      <x:c r="I92" s="2" t="n">
        <x:f>IF(F92="",0,MAX(0,G92-F92))</x:f>
        <x:v>0</x:v>
      </x:c>
      <x:c r="J92" s="2" t="n">
        <x:v>0</x:v>
      </x:c>
      <x:c r="K92" s="11" t="str">
        <x:v>—</x:v>
      </x:c>
      <x:c r="L92" s="11" t="str">
        <x:f>"營運參考"</x:f>
        <x:v>營運參考</x:v>
      </x:c>
    </x:row>
    <x:row r="93" ht="42" customHeight="1">
      <x:c r="A93" s="12" t="n">
        <x:v>46317</x:v>
      </x:c>
      <x:c r="B93" s="13" t="n">
        <x:v>0.7291666666666666</x:v>
      </x:c>
      <x:c r="C93" s="13" t="n">
        <x:v>0.75</x:v>
      </x:c>
      <x:c r="D93" s="2" t="str">
        <x:v>晚餐主崗</x:v>
      </x:c>
      <x:c r="E93" s="2" t="n">
        <x:v>5</x:v>
      </x:c>
      <x:c r="F93" s="2" t="n">
        <x:v>5</x:v>
      </x:c>
      <x:c r="G93" s="2" t="n">
        <x:f>IF(AND('班次明細'!L9&gt;0,'班次明細'!G9&lt;=B93,'班次明細'!H9&gt;=C93),1,0)+IF(AND('班次明細'!L16&gt;0,'班次明細'!G16&lt;=B93,'班次明細'!H16&gt;=C93),1,0)+IF(AND('班次明細'!L23&gt;0,'班次明細'!G23&lt;=B93,'班次明細'!H23&gt;=C93),1,0)+IF(AND('班次明細'!L30&gt;0,'班次明細'!G30&lt;=B93,'班次明細'!H30&gt;=C93),1,0)+IF(AND('班次明細'!L37&gt;0,'班次明細'!G37&lt;=B93,'班次明細'!H37&gt;=C93),1,0)+IF(AND('班次明細'!L44&gt;0,'班次明細'!G44&lt;=B93,'班次明細'!H44&gt;=C93),1,0)+IF(AND('班次明細'!L51&gt;0,'班次明細'!G51&lt;=B93,'班次明細'!H51&gt;=C93),1,0)+IF(AND('班次明細'!L58&gt;0,'班次明細'!G58&lt;=B93,'班次明細'!H58&gt;=C93),1,0)+IF(AND('班次明細'!L65&gt;0,'班次明細'!G65&lt;=B93,'班次明細'!H65&gt;=C93),1,0)+IF(AND('班次明細'!L72&gt;0,'班次明細'!G72&lt;=B93,'班次明細'!H72&gt;=C93),1,0)+IF(AND('班次明細'!L79&gt;0,'班次明細'!G79&lt;=B93,'班次明細'!H79&gt;=C93),1,0)</x:f>
        <x:v>5</x:v>
      </x:c>
      <x:c r="H93" s="2" t="n">
        <x:f>MAX(0,E93-G93)</x:f>
        <x:v>0</x:v>
      </x:c>
      <x:c r="I93" s="2" t="n">
        <x:f>IF(F93="",0,MAX(0,G93-F93))</x:f>
        <x:v>0</x:v>
      </x:c>
      <x:c r="J93" s="2" t="n">
        <x:f>IF((IF(RIGHT('班次明細'!O9,2)="外場",IF(AND('班次明細'!L9&gt;0,'班次明細'!G9&lt;=B93,'班次明細'!H9&gt;=C93),1,0),0)+IF(RIGHT('班次明細'!O16,2)="外場",IF(AND('班次明細'!L16&gt;0,'班次明細'!G16&lt;=B93,'班次明細'!H16&gt;=C93),1,0),0)+IF(RIGHT('班次明細'!O23,2)="外場",IF(AND('班次明細'!L23&gt;0,'班次明細'!G23&lt;=B93,'班次明細'!H23&gt;=C93),1,0),0)+IF(RIGHT('班次明細'!O30,2)="外場",IF(AND('班次明細'!L30&gt;0,'班次明細'!G30&lt;=B93,'班次明細'!H30&gt;=C93),1,0),0)+IF(RIGHT('班次明細'!O37,2)="外場",IF(AND('班次明細'!L37&gt;0,'班次明細'!G37&lt;=B93,'班次明細'!H37&gt;=C93),1,0),0)+IF(RIGHT('班次明細'!O44,2)="外場",IF(AND('班次明細'!L44&gt;0,'班次明細'!G44&lt;=B93,'班次明細'!H44&gt;=C93),1,0),0)+IF(RIGHT('班次明細'!O51,2)="外場",IF(AND('班次明細'!L51&gt;0,'班次明細'!G51&lt;=B93,'班次明細'!H51&gt;=C93),1,0),0)+IF(RIGHT('班次明細'!O58,2)="外場",IF(AND('班次明細'!L58&gt;0,'班次明細'!G58&lt;=B93,'班次明細'!H58&gt;=C93),1,0),0)+IF(RIGHT('班次明細'!O65,2)="外場",IF(AND('班次明細'!L65&gt;0,'班次明細'!G65&lt;=B93,'班次明細'!H65&gt;=C93),1,0),0)+IF(RIGHT('班次明細'!O72,2)="外場",IF(AND('班次明細'!L72&gt;0,'班次明細'!G72&lt;=B93,'班次明細'!H72&gt;=C93),1,0),0)+IF(RIGHT('班次明細'!O79,2)="外場",IF(AND('班次明細'!L79&gt;0,'班次明細'!G79&lt;=B93,'班次明細'!H79&gt;=C93),1,0),0))&gt;0,0,1)+IF((IF(RIGHT('班次明細'!O9,2)="吧台",IF(AND('班次明細'!L9&gt;0,'班次明細'!G9&lt;=B93,'班次明細'!H9&gt;=C93),1,0),0)+IF(RIGHT('班次明細'!O16,2)="吧台",IF(AND('班次明細'!L16&gt;0,'班次明細'!G16&lt;=B93,'班次明細'!H16&gt;=C93),1,0),0)+IF(RIGHT('班次明細'!O23,2)="吧台",IF(AND('班次明細'!L23&gt;0,'班次明細'!G23&lt;=B93,'班次明細'!H23&gt;=C93),1,0),0)+IF(RIGHT('班次明細'!O30,2)="吧台",IF(AND('班次明細'!L30&gt;0,'班次明細'!G30&lt;=B93,'班次明細'!H30&gt;=C93),1,0),0)+IF(RIGHT('班次明細'!O37,2)="吧台",IF(AND('班次明細'!L37&gt;0,'班次明細'!G37&lt;=B93,'班次明細'!H37&gt;=C93),1,0),0)+IF(RIGHT('班次明細'!O44,2)="吧台",IF(AND('班次明細'!L44&gt;0,'班次明細'!G44&lt;=B93,'班次明細'!H44&gt;=C93),1,0),0)+IF(RIGHT('班次明細'!O51,2)="吧台",IF(AND('班次明細'!L51&gt;0,'班次明細'!G51&lt;=B93,'班次明細'!H51&gt;=C93),1,0),0)+IF(RIGHT('班次明細'!O58,2)="吧台",IF(AND('班次明細'!L58&gt;0,'班次明細'!G58&lt;=B93,'班次明細'!H58&gt;=C93),1,0),0)+IF(RIGHT('班次明細'!O65,2)="吧台",IF(AND('班次明細'!L65&gt;0,'班次明細'!G65&lt;=B93,'班次明細'!H65&gt;=C93),1,0),0)+IF(RIGHT('班次明細'!O72,2)="吧台",IF(AND('班次明細'!L72&gt;0,'班次明細'!G72&lt;=B93,'班次明細'!H72&gt;=C93),1,0),0)+IF(RIGHT('班次明細'!O79,2)="吧台",IF(AND('班次明細'!L79&gt;0,'班次明細'!G79&lt;=B93,'班次明細'!H79&gt;=C93),1,0),0))&gt;0,0,1)+IF((IF(RIGHT('班次明細'!O9,2)="司爐",IF(AND('班次明細'!L9&gt;0,'班次明細'!G9&lt;=B93,'班次明細'!H9&gt;=C93),1,0),0)+IF(RIGHT('班次明細'!O16,2)="司爐",IF(AND('班次明細'!L16&gt;0,'班次明細'!G16&lt;=B93,'班次明細'!H16&gt;=C93),1,0),0)+IF(RIGHT('班次明細'!O23,2)="司爐",IF(AND('班次明細'!L23&gt;0,'班次明細'!G23&lt;=B93,'班次明細'!H23&gt;=C93),1,0),0)+IF(RIGHT('班次明細'!O30,2)="司爐",IF(AND('班次明細'!L30&gt;0,'班次明細'!G30&lt;=B93,'班次明細'!H30&gt;=C93),1,0),0)+IF(RIGHT('班次明細'!O37,2)="司爐",IF(AND('班次明細'!L37&gt;0,'班次明細'!G37&lt;=B93,'班次明細'!H37&gt;=C93),1,0),0)+IF(RIGHT('班次明細'!O44,2)="司爐",IF(AND('班次明細'!L44&gt;0,'班次明細'!G44&lt;=B93,'班次明細'!H44&gt;=C93),1,0),0)+IF(RIGHT('班次明細'!O51,2)="司爐",IF(AND('班次明細'!L51&gt;0,'班次明細'!G51&lt;=B93,'班次明細'!H51&gt;=C93),1,0),0)+IF(RIGHT('班次明細'!O58,2)="司爐",IF(AND('班次明細'!L58&gt;0,'班次明細'!G58&lt;=B93,'班次明細'!H58&gt;=C93),1,0),0)+IF(RIGHT('班次明細'!O65,2)="司爐",IF(AND('班次明細'!L65&gt;0,'班次明細'!G65&lt;=B93,'班次明細'!H65&gt;=C93),1,0),0)+IF(RIGHT('班次明細'!O72,2)="司爐",IF(AND('班次明細'!L72&gt;0,'班次明細'!G72&lt;=B93,'班次明細'!H72&gt;=C93),1,0),0)+IF(RIGHT('班次明細'!O79,2)="司爐",IF(AND('班次明細'!L79&gt;0,'班次明細'!G79&lt;=B93,'班次明細'!H79&gt;=C93),1,0),0))&gt;0,0,1)+IF((IF(RIGHT('班次明細'!O9,2)="料區",IF(AND('班次明細'!L9&gt;0,'班次明細'!G9&lt;=B93,'班次明細'!H9&gt;=C93),1,0),0)+IF(RIGHT('班次明細'!O16,2)="料區",IF(AND('班次明細'!L16&gt;0,'班次明細'!G16&lt;=B93,'班次明細'!H16&gt;=C93),1,0),0)+IF(RIGHT('班次明細'!O23,2)="料區",IF(AND('班次明細'!L23&gt;0,'班次明細'!G23&lt;=B93,'班次明細'!H23&gt;=C93),1,0),0)+IF(RIGHT('班次明細'!O30,2)="料區",IF(AND('班次明細'!L30&gt;0,'班次明細'!G30&lt;=B93,'班次明細'!H30&gt;=C93),1,0),0)+IF(RIGHT('班次明細'!O37,2)="料區",IF(AND('班次明細'!L37&gt;0,'班次明細'!G37&lt;=B93,'班次明細'!H37&gt;=C93),1,0),0)+IF(RIGHT('班次明細'!O44,2)="料區",IF(AND('班次明細'!L44&gt;0,'班次明細'!G44&lt;=B93,'班次明細'!H44&gt;=C93),1,0),0)+IF(RIGHT('班次明細'!O51,2)="料區",IF(AND('班次明細'!L51&gt;0,'班次明細'!G51&lt;=B93,'班次明細'!H51&gt;=C93),1,0),0)+IF(RIGHT('班次明細'!O58,2)="料區",IF(AND('班次明細'!L58&gt;0,'班次明細'!G58&lt;=B93,'班次明細'!H58&gt;=C93),1,0),0)+IF(RIGHT('班次明細'!O65,2)="料區",IF(AND('班次明細'!L65&gt;0,'班次明細'!G65&lt;=B93,'班次明細'!H65&gt;=C93),1,0),0)+IF(RIGHT('班次明細'!O72,2)="料區",IF(AND('班次明細'!L72&gt;0,'班次明細'!G72&lt;=B93,'班次明細'!H72&gt;=C93),1,0),0)+IF(RIGHT('班次明細'!O79,2)="料區",IF(AND('班次明細'!L79&gt;0,'班次明細'!G79&lt;=B93,'班次明細'!H79&gt;=C93),1,0),0))&gt;0,0,1)+IF((IF(RIGHT('班次明細'!O9,2)="炸區",IF(AND('班次明細'!L9&gt;0,'班次明細'!G9&lt;=B93,'班次明細'!H9&gt;=C93),1,0),0)+IF(RIGHT('班次明細'!O16,2)="炸區",IF(AND('班次明細'!L16&gt;0,'班次明細'!G16&lt;=B93,'班次明細'!H16&gt;=C93),1,0),0)+IF(RIGHT('班次明細'!O23,2)="炸區",IF(AND('班次明細'!L23&gt;0,'班次明細'!G23&lt;=B93,'班次明細'!H23&gt;=C93),1,0),0)+IF(RIGHT('班次明細'!O30,2)="炸區",IF(AND('班次明細'!L30&gt;0,'班次明細'!G30&lt;=B93,'班次明細'!H30&gt;=C93),1,0),0)+IF(RIGHT('班次明細'!O37,2)="炸區",IF(AND('班次明細'!L37&gt;0,'班次明細'!G37&lt;=B93,'班次明細'!H37&gt;=C93),1,0),0)+IF(RIGHT('班次明細'!O44,2)="炸區",IF(AND('班次明細'!L44&gt;0,'班次明細'!G44&lt;=B93,'班次明細'!H44&gt;=C93),1,0),0)+IF(RIGHT('班次明細'!O51,2)="炸區",IF(AND('班次明細'!L51&gt;0,'班次明細'!G51&lt;=B93,'班次明細'!H51&gt;=C93),1,0),0)+IF(RIGHT('班次明細'!O58,2)="炸區",IF(AND('班次明細'!L58&gt;0,'班次明細'!G58&lt;=B93,'班次明細'!H58&gt;=C93),1,0),0)+IF(RIGHT('班次明細'!O65,2)="炸區",IF(AND('班次明細'!L65&gt;0,'班次明細'!G65&lt;=B93,'班次明細'!H65&gt;=C93),1,0),0)+IF(RIGHT('班次明細'!O72,2)="炸區",IF(AND('班次明細'!L72&gt;0,'班次明細'!G72&lt;=B93,'班次明細'!H72&gt;=C93),1,0),0)+IF(RIGHT('班次明細'!O79,2)="炸區",IF(AND('班次明細'!L79&gt;0,'班次明細'!G79&lt;=B93,'班次明細'!H79&gt;=C93),1,0),0))&gt;0,0,1)</x:f>
        <x:v>0</x:v>
      </x:c>
      <x:c r="K93" s="11" t="str">
        <x:v>P01:外場；P03:吧台；P04:料區；P08:司爐；P09:炸區</x:v>
      </x:c>
      <x:c r="L93" s="11" t="str">
        <x:f>IF(OR(H93&gt;0,I93&gt;0,J93&gt;0),"缺口／超額待處理","主崗齊；休息待現場")</x:f>
        <x:v>主崗齊；休息待現場</x:v>
      </x:c>
    </x:row>
    <x:row r="94" ht="42" customHeight="1">
      <x:c r="A94" s="12" t="n">
        <x:v>46317</x:v>
      </x:c>
      <x:c r="B94" s="13" t="n">
        <x:v>0.75</x:v>
      </x:c>
      <x:c r="C94" s="13" t="n">
        <x:v>0.7708333333333334</x:v>
      </x:c>
      <x:c r="D94" s="2" t="str">
        <x:v>晚餐主崗</x:v>
      </x:c>
      <x:c r="E94" s="2" t="n">
        <x:v>5</x:v>
      </x:c>
      <x:c r="F94" s="2" t="n">
        <x:v>5</x:v>
      </x:c>
      <x:c r="G94" s="2" t="n">
        <x:f>IF(AND('班次明細'!L9&gt;0,'班次明細'!G9&lt;=B94,'班次明細'!H9&gt;=C94),1,0)+IF(AND('班次明細'!L16&gt;0,'班次明細'!G16&lt;=B94,'班次明細'!H16&gt;=C94),1,0)+IF(AND('班次明細'!L23&gt;0,'班次明細'!G23&lt;=B94,'班次明細'!H23&gt;=C94),1,0)+IF(AND('班次明細'!L30&gt;0,'班次明細'!G30&lt;=B94,'班次明細'!H30&gt;=C94),1,0)+IF(AND('班次明細'!L37&gt;0,'班次明細'!G37&lt;=B94,'班次明細'!H37&gt;=C94),1,0)+IF(AND('班次明細'!L44&gt;0,'班次明細'!G44&lt;=B94,'班次明細'!H44&gt;=C94),1,0)+IF(AND('班次明細'!L51&gt;0,'班次明細'!G51&lt;=B94,'班次明細'!H51&gt;=C94),1,0)+IF(AND('班次明細'!L58&gt;0,'班次明細'!G58&lt;=B94,'班次明細'!H58&gt;=C94),1,0)+IF(AND('班次明細'!L65&gt;0,'班次明細'!G65&lt;=B94,'班次明細'!H65&gt;=C94),1,0)+IF(AND('班次明細'!L72&gt;0,'班次明細'!G72&lt;=B94,'班次明細'!H72&gt;=C94),1,0)+IF(AND('班次明細'!L79&gt;0,'班次明細'!G79&lt;=B94,'班次明細'!H79&gt;=C94),1,0)</x:f>
        <x:v>5</x:v>
      </x:c>
      <x:c r="H94" s="2" t="n">
        <x:f>MAX(0,E94-G94)</x:f>
        <x:v>0</x:v>
      </x:c>
      <x:c r="I94" s="2" t="n">
        <x:f>IF(F94="",0,MAX(0,G94-F94))</x:f>
        <x:v>0</x:v>
      </x:c>
      <x:c r="J94" s="2" t="n">
        <x:f>IF((IF(RIGHT('班次明細'!O9,2)="外場",IF(AND('班次明細'!L9&gt;0,'班次明細'!G9&lt;=B94,'班次明細'!H9&gt;=C94),1,0),0)+IF(RIGHT('班次明細'!O16,2)="外場",IF(AND('班次明細'!L16&gt;0,'班次明細'!G16&lt;=B94,'班次明細'!H16&gt;=C94),1,0),0)+IF(RIGHT('班次明細'!O23,2)="外場",IF(AND('班次明細'!L23&gt;0,'班次明細'!G23&lt;=B94,'班次明細'!H23&gt;=C94),1,0),0)+IF(RIGHT('班次明細'!O30,2)="外場",IF(AND('班次明細'!L30&gt;0,'班次明細'!G30&lt;=B94,'班次明細'!H30&gt;=C94),1,0),0)+IF(RIGHT('班次明細'!O37,2)="外場",IF(AND('班次明細'!L37&gt;0,'班次明細'!G37&lt;=B94,'班次明細'!H37&gt;=C94),1,0),0)+IF(RIGHT('班次明細'!O44,2)="外場",IF(AND('班次明細'!L44&gt;0,'班次明細'!G44&lt;=B94,'班次明細'!H44&gt;=C94),1,0),0)+IF(RIGHT('班次明細'!O51,2)="外場",IF(AND('班次明細'!L51&gt;0,'班次明細'!G51&lt;=B94,'班次明細'!H51&gt;=C94),1,0),0)+IF(RIGHT('班次明細'!O58,2)="外場",IF(AND('班次明細'!L58&gt;0,'班次明細'!G58&lt;=B94,'班次明細'!H58&gt;=C94),1,0),0)+IF(RIGHT('班次明細'!O65,2)="外場",IF(AND('班次明細'!L65&gt;0,'班次明細'!G65&lt;=B94,'班次明細'!H65&gt;=C94),1,0),0)+IF(RIGHT('班次明細'!O72,2)="外場",IF(AND('班次明細'!L72&gt;0,'班次明細'!G72&lt;=B94,'班次明細'!H72&gt;=C94),1,0),0)+IF(RIGHT('班次明細'!O79,2)="外場",IF(AND('班次明細'!L79&gt;0,'班次明細'!G79&lt;=B94,'班次明細'!H79&gt;=C94),1,0),0))&gt;0,0,1)+IF((IF(RIGHT('班次明細'!O9,2)="吧台",IF(AND('班次明細'!L9&gt;0,'班次明細'!G9&lt;=B94,'班次明細'!H9&gt;=C94),1,0),0)+IF(RIGHT('班次明細'!O16,2)="吧台",IF(AND('班次明細'!L16&gt;0,'班次明細'!G16&lt;=B94,'班次明細'!H16&gt;=C94),1,0),0)+IF(RIGHT('班次明細'!O23,2)="吧台",IF(AND('班次明細'!L23&gt;0,'班次明細'!G23&lt;=B94,'班次明細'!H23&gt;=C94),1,0),0)+IF(RIGHT('班次明細'!O30,2)="吧台",IF(AND('班次明細'!L30&gt;0,'班次明細'!G30&lt;=B94,'班次明細'!H30&gt;=C94),1,0),0)+IF(RIGHT('班次明細'!O37,2)="吧台",IF(AND('班次明細'!L37&gt;0,'班次明細'!G37&lt;=B94,'班次明細'!H37&gt;=C94),1,0),0)+IF(RIGHT('班次明細'!O44,2)="吧台",IF(AND('班次明細'!L44&gt;0,'班次明細'!G44&lt;=B94,'班次明細'!H44&gt;=C94),1,0),0)+IF(RIGHT('班次明細'!O51,2)="吧台",IF(AND('班次明細'!L51&gt;0,'班次明細'!G51&lt;=B94,'班次明細'!H51&gt;=C94),1,0),0)+IF(RIGHT('班次明細'!O58,2)="吧台",IF(AND('班次明細'!L58&gt;0,'班次明細'!G58&lt;=B94,'班次明細'!H58&gt;=C94),1,0),0)+IF(RIGHT('班次明細'!O65,2)="吧台",IF(AND('班次明細'!L65&gt;0,'班次明細'!G65&lt;=B94,'班次明細'!H65&gt;=C94),1,0),0)+IF(RIGHT('班次明細'!O72,2)="吧台",IF(AND('班次明細'!L72&gt;0,'班次明細'!G72&lt;=B94,'班次明細'!H72&gt;=C94),1,0),0)+IF(RIGHT('班次明細'!O79,2)="吧台",IF(AND('班次明細'!L79&gt;0,'班次明細'!G79&lt;=B94,'班次明細'!H79&gt;=C94),1,0),0))&gt;0,0,1)+IF((IF(RIGHT('班次明細'!O9,2)="司爐",IF(AND('班次明細'!L9&gt;0,'班次明細'!G9&lt;=B94,'班次明細'!H9&gt;=C94),1,0),0)+IF(RIGHT('班次明細'!O16,2)="司爐",IF(AND('班次明細'!L16&gt;0,'班次明細'!G16&lt;=B94,'班次明細'!H16&gt;=C94),1,0),0)+IF(RIGHT('班次明細'!O23,2)="司爐",IF(AND('班次明細'!L23&gt;0,'班次明細'!G23&lt;=B94,'班次明細'!H23&gt;=C94),1,0),0)+IF(RIGHT('班次明細'!O30,2)="司爐",IF(AND('班次明細'!L30&gt;0,'班次明細'!G30&lt;=B94,'班次明細'!H30&gt;=C94),1,0),0)+IF(RIGHT('班次明細'!O37,2)="司爐",IF(AND('班次明細'!L37&gt;0,'班次明細'!G37&lt;=B94,'班次明細'!H37&gt;=C94),1,0),0)+IF(RIGHT('班次明細'!O44,2)="司爐",IF(AND('班次明細'!L44&gt;0,'班次明細'!G44&lt;=B94,'班次明細'!H44&gt;=C94),1,0),0)+IF(RIGHT('班次明細'!O51,2)="司爐",IF(AND('班次明細'!L51&gt;0,'班次明細'!G51&lt;=B94,'班次明細'!H51&gt;=C94),1,0),0)+IF(RIGHT('班次明細'!O58,2)="司爐",IF(AND('班次明細'!L58&gt;0,'班次明細'!G58&lt;=B94,'班次明細'!H58&gt;=C94),1,0),0)+IF(RIGHT('班次明細'!O65,2)="司爐",IF(AND('班次明細'!L65&gt;0,'班次明細'!G65&lt;=B94,'班次明細'!H65&gt;=C94),1,0),0)+IF(RIGHT('班次明細'!O72,2)="司爐",IF(AND('班次明細'!L72&gt;0,'班次明細'!G72&lt;=B94,'班次明細'!H72&gt;=C94),1,0),0)+IF(RIGHT('班次明細'!O79,2)="司爐",IF(AND('班次明細'!L79&gt;0,'班次明細'!G79&lt;=B94,'班次明細'!H79&gt;=C94),1,0),0))&gt;0,0,1)+IF((IF(RIGHT('班次明細'!O9,2)="料區",IF(AND('班次明細'!L9&gt;0,'班次明細'!G9&lt;=B94,'班次明細'!H9&gt;=C94),1,0),0)+IF(RIGHT('班次明細'!O16,2)="料區",IF(AND('班次明細'!L16&gt;0,'班次明細'!G16&lt;=B94,'班次明細'!H16&gt;=C94),1,0),0)+IF(RIGHT('班次明細'!O23,2)="料區",IF(AND('班次明細'!L23&gt;0,'班次明細'!G23&lt;=B94,'班次明細'!H23&gt;=C94),1,0),0)+IF(RIGHT('班次明細'!O30,2)="料區",IF(AND('班次明細'!L30&gt;0,'班次明細'!G30&lt;=B94,'班次明細'!H30&gt;=C94),1,0),0)+IF(RIGHT('班次明細'!O37,2)="料區",IF(AND('班次明細'!L37&gt;0,'班次明細'!G37&lt;=B94,'班次明細'!H37&gt;=C94),1,0),0)+IF(RIGHT('班次明細'!O44,2)="料區",IF(AND('班次明細'!L44&gt;0,'班次明細'!G44&lt;=B94,'班次明細'!H44&gt;=C94),1,0),0)+IF(RIGHT('班次明細'!O51,2)="料區",IF(AND('班次明細'!L51&gt;0,'班次明細'!G51&lt;=B94,'班次明細'!H51&gt;=C94),1,0),0)+IF(RIGHT('班次明細'!O58,2)="料區",IF(AND('班次明細'!L58&gt;0,'班次明細'!G58&lt;=B94,'班次明細'!H58&gt;=C94),1,0),0)+IF(RIGHT('班次明細'!O65,2)="料區",IF(AND('班次明細'!L65&gt;0,'班次明細'!G65&lt;=B94,'班次明細'!H65&gt;=C94),1,0),0)+IF(RIGHT('班次明細'!O72,2)="料區",IF(AND('班次明細'!L72&gt;0,'班次明細'!G72&lt;=B94,'班次明細'!H72&gt;=C94),1,0),0)+IF(RIGHT('班次明細'!O79,2)="料區",IF(AND('班次明細'!L79&gt;0,'班次明細'!G79&lt;=B94,'班次明細'!H79&gt;=C94),1,0),0))&gt;0,0,1)+IF((IF(RIGHT('班次明細'!O9,2)="炸區",IF(AND('班次明細'!L9&gt;0,'班次明細'!G9&lt;=B94,'班次明細'!H9&gt;=C94),1,0),0)+IF(RIGHT('班次明細'!O16,2)="炸區",IF(AND('班次明細'!L16&gt;0,'班次明細'!G16&lt;=B94,'班次明細'!H16&gt;=C94),1,0),0)+IF(RIGHT('班次明細'!O23,2)="炸區",IF(AND('班次明細'!L23&gt;0,'班次明細'!G23&lt;=B94,'班次明細'!H23&gt;=C94),1,0),0)+IF(RIGHT('班次明細'!O30,2)="炸區",IF(AND('班次明細'!L30&gt;0,'班次明細'!G30&lt;=B94,'班次明細'!H30&gt;=C94),1,0),0)+IF(RIGHT('班次明細'!O37,2)="炸區",IF(AND('班次明細'!L37&gt;0,'班次明細'!G37&lt;=B94,'班次明細'!H37&gt;=C94),1,0),0)+IF(RIGHT('班次明細'!O44,2)="炸區",IF(AND('班次明細'!L44&gt;0,'班次明細'!G44&lt;=B94,'班次明細'!H44&gt;=C94),1,0),0)+IF(RIGHT('班次明細'!O51,2)="炸區",IF(AND('班次明細'!L51&gt;0,'班次明細'!G51&lt;=B94,'班次明細'!H51&gt;=C94),1,0),0)+IF(RIGHT('班次明細'!O58,2)="炸區",IF(AND('班次明細'!L58&gt;0,'班次明細'!G58&lt;=B94,'班次明細'!H58&gt;=C94),1,0),0)+IF(RIGHT('班次明細'!O65,2)="炸區",IF(AND('班次明細'!L65&gt;0,'班次明細'!G65&lt;=B94,'班次明細'!H65&gt;=C94),1,0),0)+IF(RIGHT('班次明細'!O72,2)="炸區",IF(AND('班次明細'!L72&gt;0,'班次明細'!G72&lt;=B94,'班次明細'!H72&gt;=C94),1,0),0)+IF(RIGHT('班次明細'!O79,2)="炸區",IF(AND('班次明細'!L79&gt;0,'班次明細'!G79&lt;=B94,'班次明細'!H79&gt;=C94),1,0),0))&gt;0,0,1)</x:f>
        <x:v>0</x:v>
      </x:c>
      <x:c r="K94" s="11" t="str">
        <x:v>P01:外場；P03:吧台；P04:料區；P08:司爐；P09:炸區</x:v>
      </x:c>
      <x:c r="L94" s="11" t="str">
        <x:f>IF(OR(H94&gt;0,I94&gt;0,J94&gt;0),"缺口／超額待處理","主崗齊；休息待現場")</x:f>
        <x:v>主崗齊；休息待現場</x:v>
      </x:c>
    </x:row>
    <x:row r="95" ht="42" customHeight="1">
      <x:c r="A95" s="12" t="n">
        <x:v>46317</x:v>
      </x:c>
      <x:c r="B95" s="13" t="n">
        <x:v>0.7708333333333334</x:v>
      </x:c>
      <x:c r="C95" s="13" t="n">
        <x:v>0.7916666666666666</x:v>
      </x:c>
      <x:c r="D95" s="2" t="str">
        <x:v>晚餐主崗</x:v>
      </x:c>
      <x:c r="E95" s="2" t="n">
        <x:v>5</x:v>
      </x:c>
      <x:c r="F95" s="2" t="n">
        <x:v>5</x:v>
      </x:c>
      <x:c r="G95" s="2" t="n">
        <x:f>IF(AND('班次明細'!L9&gt;0,'班次明細'!G9&lt;=B95,'班次明細'!H9&gt;=C95),1,0)+IF(AND('班次明細'!L16&gt;0,'班次明細'!G16&lt;=B95,'班次明細'!H16&gt;=C95),1,0)+IF(AND('班次明細'!L23&gt;0,'班次明細'!G23&lt;=B95,'班次明細'!H23&gt;=C95),1,0)+IF(AND('班次明細'!L30&gt;0,'班次明細'!G30&lt;=B95,'班次明細'!H30&gt;=C95),1,0)+IF(AND('班次明細'!L37&gt;0,'班次明細'!G37&lt;=B95,'班次明細'!H37&gt;=C95),1,0)+IF(AND('班次明細'!L44&gt;0,'班次明細'!G44&lt;=B95,'班次明細'!H44&gt;=C95),1,0)+IF(AND('班次明細'!L51&gt;0,'班次明細'!G51&lt;=B95,'班次明細'!H51&gt;=C95),1,0)+IF(AND('班次明細'!L58&gt;0,'班次明細'!G58&lt;=B95,'班次明細'!H58&gt;=C95),1,0)+IF(AND('班次明細'!L65&gt;0,'班次明細'!G65&lt;=B95,'班次明細'!H65&gt;=C95),1,0)+IF(AND('班次明細'!L72&gt;0,'班次明細'!G72&lt;=B95,'班次明細'!H72&gt;=C95),1,0)+IF(AND('班次明細'!L79&gt;0,'班次明細'!G79&lt;=B95,'班次明細'!H79&gt;=C95),1,0)</x:f>
        <x:v>5</x:v>
      </x:c>
      <x:c r="H95" s="2" t="n">
        <x:f>MAX(0,E95-G95)</x:f>
        <x:v>0</x:v>
      </x:c>
      <x:c r="I95" s="2" t="n">
        <x:f>IF(F95="",0,MAX(0,G95-F95))</x:f>
        <x:v>0</x:v>
      </x:c>
      <x:c r="J95" s="2" t="n">
        <x:f>IF((IF(RIGHT('班次明細'!O9,2)="外場",IF(AND('班次明細'!L9&gt;0,'班次明細'!G9&lt;=B95,'班次明細'!H9&gt;=C95),1,0),0)+IF(RIGHT('班次明細'!O16,2)="外場",IF(AND('班次明細'!L16&gt;0,'班次明細'!G16&lt;=B95,'班次明細'!H16&gt;=C95),1,0),0)+IF(RIGHT('班次明細'!O23,2)="外場",IF(AND('班次明細'!L23&gt;0,'班次明細'!G23&lt;=B95,'班次明細'!H23&gt;=C95),1,0),0)+IF(RIGHT('班次明細'!O30,2)="外場",IF(AND('班次明細'!L30&gt;0,'班次明細'!G30&lt;=B95,'班次明細'!H30&gt;=C95),1,0),0)+IF(RIGHT('班次明細'!O37,2)="外場",IF(AND('班次明細'!L37&gt;0,'班次明細'!G37&lt;=B95,'班次明細'!H37&gt;=C95),1,0),0)+IF(RIGHT('班次明細'!O44,2)="外場",IF(AND('班次明細'!L44&gt;0,'班次明細'!G44&lt;=B95,'班次明細'!H44&gt;=C95),1,0),0)+IF(RIGHT('班次明細'!O51,2)="外場",IF(AND('班次明細'!L51&gt;0,'班次明細'!G51&lt;=B95,'班次明細'!H51&gt;=C95),1,0),0)+IF(RIGHT('班次明細'!O58,2)="外場",IF(AND('班次明細'!L58&gt;0,'班次明細'!G58&lt;=B95,'班次明細'!H58&gt;=C95),1,0),0)+IF(RIGHT('班次明細'!O65,2)="外場",IF(AND('班次明細'!L65&gt;0,'班次明細'!G65&lt;=B95,'班次明細'!H65&gt;=C95),1,0),0)+IF(RIGHT('班次明細'!O72,2)="外場",IF(AND('班次明細'!L72&gt;0,'班次明細'!G72&lt;=B95,'班次明細'!H72&gt;=C95),1,0),0)+IF(RIGHT('班次明細'!O79,2)="外場",IF(AND('班次明細'!L79&gt;0,'班次明細'!G79&lt;=B95,'班次明細'!H79&gt;=C95),1,0),0))&gt;0,0,1)+IF((IF(RIGHT('班次明細'!O9,2)="吧台",IF(AND('班次明細'!L9&gt;0,'班次明細'!G9&lt;=B95,'班次明細'!H9&gt;=C95),1,0),0)+IF(RIGHT('班次明細'!O16,2)="吧台",IF(AND('班次明細'!L16&gt;0,'班次明細'!G16&lt;=B95,'班次明細'!H16&gt;=C95),1,0),0)+IF(RIGHT('班次明細'!O23,2)="吧台",IF(AND('班次明細'!L23&gt;0,'班次明細'!G23&lt;=B95,'班次明細'!H23&gt;=C95),1,0),0)+IF(RIGHT('班次明細'!O30,2)="吧台",IF(AND('班次明細'!L30&gt;0,'班次明細'!G30&lt;=B95,'班次明細'!H30&gt;=C95),1,0),0)+IF(RIGHT('班次明細'!O37,2)="吧台",IF(AND('班次明細'!L37&gt;0,'班次明細'!G37&lt;=B95,'班次明細'!H37&gt;=C95),1,0),0)+IF(RIGHT('班次明細'!O44,2)="吧台",IF(AND('班次明細'!L44&gt;0,'班次明細'!G44&lt;=B95,'班次明細'!H44&gt;=C95),1,0),0)+IF(RIGHT('班次明細'!O51,2)="吧台",IF(AND('班次明細'!L51&gt;0,'班次明細'!G51&lt;=B95,'班次明細'!H51&gt;=C95),1,0),0)+IF(RIGHT('班次明細'!O58,2)="吧台",IF(AND('班次明細'!L58&gt;0,'班次明細'!G58&lt;=B95,'班次明細'!H58&gt;=C95),1,0),0)+IF(RIGHT('班次明細'!O65,2)="吧台",IF(AND('班次明細'!L65&gt;0,'班次明細'!G65&lt;=B95,'班次明細'!H65&gt;=C95),1,0),0)+IF(RIGHT('班次明細'!O72,2)="吧台",IF(AND('班次明細'!L72&gt;0,'班次明細'!G72&lt;=B95,'班次明細'!H72&gt;=C95),1,0),0)+IF(RIGHT('班次明細'!O79,2)="吧台",IF(AND('班次明細'!L79&gt;0,'班次明細'!G79&lt;=B95,'班次明細'!H79&gt;=C95),1,0),0))&gt;0,0,1)+IF((IF(RIGHT('班次明細'!O9,2)="司爐",IF(AND('班次明細'!L9&gt;0,'班次明細'!G9&lt;=B95,'班次明細'!H9&gt;=C95),1,0),0)+IF(RIGHT('班次明細'!O16,2)="司爐",IF(AND('班次明細'!L16&gt;0,'班次明細'!G16&lt;=B95,'班次明細'!H16&gt;=C95),1,0),0)+IF(RIGHT('班次明細'!O23,2)="司爐",IF(AND('班次明細'!L23&gt;0,'班次明細'!G23&lt;=B95,'班次明細'!H23&gt;=C95),1,0),0)+IF(RIGHT('班次明細'!O30,2)="司爐",IF(AND('班次明細'!L30&gt;0,'班次明細'!G30&lt;=B95,'班次明細'!H30&gt;=C95),1,0),0)+IF(RIGHT('班次明細'!O37,2)="司爐",IF(AND('班次明細'!L37&gt;0,'班次明細'!G37&lt;=B95,'班次明細'!H37&gt;=C95),1,0),0)+IF(RIGHT('班次明細'!O44,2)="司爐",IF(AND('班次明細'!L44&gt;0,'班次明細'!G44&lt;=B95,'班次明細'!H44&gt;=C95),1,0),0)+IF(RIGHT('班次明細'!O51,2)="司爐",IF(AND('班次明細'!L51&gt;0,'班次明細'!G51&lt;=B95,'班次明細'!H51&gt;=C95),1,0),0)+IF(RIGHT('班次明細'!O58,2)="司爐",IF(AND('班次明細'!L58&gt;0,'班次明細'!G58&lt;=B95,'班次明細'!H58&gt;=C95),1,0),0)+IF(RIGHT('班次明細'!O65,2)="司爐",IF(AND('班次明細'!L65&gt;0,'班次明細'!G65&lt;=B95,'班次明細'!H65&gt;=C95),1,0),0)+IF(RIGHT('班次明細'!O72,2)="司爐",IF(AND('班次明細'!L72&gt;0,'班次明細'!G72&lt;=B95,'班次明細'!H72&gt;=C95),1,0),0)+IF(RIGHT('班次明細'!O79,2)="司爐",IF(AND('班次明細'!L79&gt;0,'班次明細'!G79&lt;=B95,'班次明細'!H79&gt;=C95),1,0),0))&gt;0,0,1)+IF((IF(RIGHT('班次明細'!O9,2)="料區",IF(AND('班次明細'!L9&gt;0,'班次明細'!G9&lt;=B95,'班次明細'!H9&gt;=C95),1,0),0)+IF(RIGHT('班次明細'!O16,2)="料區",IF(AND('班次明細'!L16&gt;0,'班次明細'!G16&lt;=B95,'班次明細'!H16&gt;=C95),1,0),0)+IF(RIGHT('班次明細'!O23,2)="料區",IF(AND('班次明細'!L23&gt;0,'班次明細'!G23&lt;=B95,'班次明細'!H23&gt;=C95),1,0),0)+IF(RIGHT('班次明細'!O30,2)="料區",IF(AND('班次明細'!L30&gt;0,'班次明細'!G30&lt;=B95,'班次明細'!H30&gt;=C95),1,0),0)+IF(RIGHT('班次明細'!O37,2)="料區",IF(AND('班次明細'!L37&gt;0,'班次明細'!G37&lt;=B95,'班次明細'!H37&gt;=C95),1,0),0)+IF(RIGHT('班次明細'!O44,2)="料區",IF(AND('班次明細'!L44&gt;0,'班次明細'!G44&lt;=B95,'班次明細'!H44&gt;=C95),1,0),0)+IF(RIGHT('班次明細'!O51,2)="料區",IF(AND('班次明細'!L51&gt;0,'班次明細'!G51&lt;=B95,'班次明細'!H51&gt;=C95),1,0),0)+IF(RIGHT('班次明細'!O58,2)="料區",IF(AND('班次明細'!L58&gt;0,'班次明細'!G58&lt;=B95,'班次明細'!H58&gt;=C95),1,0),0)+IF(RIGHT('班次明細'!O65,2)="料區",IF(AND('班次明細'!L65&gt;0,'班次明細'!G65&lt;=B95,'班次明細'!H65&gt;=C95),1,0),0)+IF(RIGHT('班次明細'!O72,2)="料區",IF(AND('班次明細'!L72&gt;0,'班次明細'!G72&lt;=B95,'班次明細'!H72&gt;=C95),1,0),0)+IF(RIGHT('班次明細'!O79,2)="料區",IF(AND('班次明細'!L79&gt;0,'班次明細'!G79&lt;=B95,'班次明細'!H79&gt;=C95),1,0),0))&gt;0,0,1)+IF((IF(RIGHT('班次明細'!O9,2)="炸區",IF(AND('班次明細'!L9&gt;0,'班次明細'!G9&lt;=B95,'班次明細'!H9&gt;=C95),1,0),0)+IF(RIGHT('班次明細'!O16,2)="炸區",IF(AND('班次明細'!L16&gt;0,'班次明細'!G16&lt;=B95,'班次明細'!H16&gt;=C95),1,0),0)+IF(RIGHT('班次明細'!O23,2)="炸區",IF(AND('班次明細'!L23&gt;0,'班次明細'!G23&lt;=B95,'班次明細'!H23&gt;=C95),1,0),0)+IF(RIGHT('班次明細'!O30,2)="炸區",IF(AND('班次明細'!L30&gt;0,'班次明細'!G30&lt;=B95,'班次明細'!H30&gt;=C95),1,0),0)+IF(RIGHT('班次明細'!O37,2)="炸區",IF(AND('班次明細'!L37&gt;0,'班次明細'!G37&lt;=B95,'班次明細'!H37&gt;=C95),1,0),0)+IF(RIGHT('班次明細'!O44,2)="炸區",IF(AND('班次明細'!L44&gt;0,'班次明細'!G44&lt;=B95,'班次明細'!H44&gt;=C95),1,0),0)+IF(RIGHT('班次明細'!O51,2)="炸區",IF(AND('班次明細'!L51&gt;0,'班次明細'!G51&lt;=B95,'班次明細'!H51&gt;=C95),1,0),0)+IF(RIGHT('班次明細'!O58,2)="炸區",IF(AND('班次明細'!L58&gt;0,'班次明細'!G58&lt;=B95,'班次明細'!H58&gt;=C95),1,0),0)+IF(RIGHT('班次明細'!O65,2)="炸區",IF(AND('班次明細'!L65&gt;0,'班次明細'!G65&lt;=B95,'班次明細'!H65&gt;=C95),1,0),0)+IF(RIGHT('班次明細'!O72,2)="炸區",IF(AND('班次明細'!L72&gt;0,'班次明細'!G72&lt;=B95,'班次明細'!H72&gt;=C95),1,0),0)+IF(RIGHT('班次明細'!O79,2)="炸區",IF(AND('班次明細'!L79&gt;0,'班次明細'!G79&lt;=B95,'班次明細'!H79&gt;=C95),1,0),0))&gt;0,0,1)</x:f>
        <x:v>0</x:v>
      </x:c>
      <x:c r="K95" s="11" t="str">
        <x:v>P01:外場；P03:吧台；P04:料區；P08:司爐；P09:炸區</x:v>
      </x:c>
      <x:c r="L95" s="11" t="str">
        <x:f>IF(OR(H95&gt;0,I95&gt;0,J95&gt;0),"缺口／超額待處理","主崗齊；休息待現場")</x:f>
        <x:v>主崗齊；休息待現場</x:v>
      </x:c>
    </x:row>
    <x:row r="96" ht="42" customHeight="1">
      <x:c r="A96" s="12" t="n">
        <x:v>46317</x:v>
      </x:c>
      <x:c r="B96" s="13" t="n">
        <x:v>0.7916666666666666</x:v>
      </x:c>
      <x:c r="C96" s="13" t="n">
        <x:v>0.8125</x:v>
      </x:c>
      <x:c r="D96" s="2" t="str">
        <x:v>晚餐主崗</x:v>
      </x:c>
      <x:c r="E96" s="2" t="n">
        <x:v>5</x:v>
      </x:c>
      <x:c r="F96" s="2" t="n">
        <x:v>5</x:v>
      </x:c>
      <x:c r="G96" s="2" t="n">
        <x:f>IF(AND('班次明細'!L9&gt;0,'班次明細'!G9&lt;=B96,'班次明細'!H9&gt;=C96),1,0)+IF(AND('班次明細'!L16&gt;0,'班次明細'!G16&lt;=B96,'班次明細'!H16&gt;=C96),1,0)+IF(AND('班次明細'!L23&gt;0,'班次明細'!G23&lt;=B96,'班次明細'!H23&gt;=C96),1,0)+IF(AND('班次明細'!L30&gt;0,'班次明細'!G30&lt;=B96,'班次明細'!H30&gt;=C96),1,0)+IF(AND('班次明細'!L37&gt;0,'班次明細'!G37&lt;=B96,'班次明細'!H37&gt;=C96),1,0)+IF(AND('班次明細'!L44&gt;0,'班次明細'!G44&lt;=B96,'班次明細'!H44&gt;=C96),1,0)+IF(AND('班次明細'!L51&gt;0,'班次明細'!G51&lt;=B96,'班次明細'!H51&gt;=C96),1,0)+IF(AND('班次明細'!L58&gt;0,'班次明細'!G58&lt;=B96,'班次明細'!H58&gt;=C96),1,0)+IF(AND('班次明細'!L65&gt;0,'班次明細'!G65&lt;=B96,'班次明細'!H65&gt;=C96),1,0)+IF(AND('班次明細'!L72&gt;0,'班次明細'!G72&lt;=B96,'班次明細'!H72&gt;=C96),1,0)+IF(AND('班次明細'!L79&gt;0,'班次明細'!G79&lt;=B96,'班次明細'!H79&gt;=C96),1,0)</x:f>
        <x:v>5</x:v>
      </x:c>
      <x:c r="H96" s="2" t="n">
        <x:f>MAX(0,E96-G96)</x:f>
        <x:v>0</x:v>
      </x:c>
      <x:c r="I96" s="2" t="n">
        <x:f>IF(F96="",0,MAX(0,G96-F96))</x:f>
        <x:v>0</x:v>
      </x:c>
      <x:c r="J96" s="2" t="n">
        <x:f>IF((IF(RIGHT('班次明細'!O9,2)="外場",IF(AND('班次明細'!L9&gt;0,'班次明細'!G9&lt;=B96,'班次明細'!H9&gt;=C96),1,0),0)+IF(RIGHT('班次明細'!O16,2)="外場",IF(AND('班次明細'!L16&gt;0,'班次明細'!G16&lt;=B96,'班次明細'!H16&gt;=C96),1,0),0)+IF(RIGHT('班次明細'!O23,2)="外場",IF(AND('班次明細'!L23&gt;0,'班次明細'!G23&lt;=B96,'班次明細'!H23&gt;=C96),1,0),0)+IF(RIGHT('班次明細'!O30,2)="外場",IF(AND('班次明細'!L30&gt;0,'班次明細'!G30&lt;=B96,'班次明細'!H30&gt;=C96),1,0),0)+IF(RIGHT('班次明細'!O37,2)="外場",IF(AND('班次明細'!L37&gt;0,'班次明細'!G37&lt;=B96,'班次明細'!H37&gt;=C96),1,0),0)+IF(RIGHT('班次明細'!O44,2)="外場",IF(AND('班次明細'!L44&gt;0,'班次明細'!G44&lt;=B96,'班次明細'!H44&gt;=C96),1,0),0)+IF(RIGHT('班次明細'!O51,2)="外場",IF(AND('班次明細'!L51&gt;0,'班次明細'!G51&lt;=B96,'班次明細'!H51&gt;=C96),1,0),0)+IF(RIGHT('班次明細'!O58,2)="外場",IF(AND('班次明細'!L58&gt;0,'班次明細'!G58&lt;=B96,'班次明細'!H58&gt;=C96),1,0),0)+IF(RIGHT('班次明細'!O65,2)="外場",IF(AND('班次明細'!L65&gt;0,'班次明細'!G65&lt;=B96,'班次明細'!H65&gt;=C96),1,0),0)+IF(RIGHT('班次明細'!O72,2)="外場",IF(AND('班次明細'!L72&gt;0,'班次明細'!G72&lt;=B96,'班次明細'!H72&gt;=C96),1,0),0)+IF(RIGHT('班次明細'!O79,2)="外場",IF(AND('班次明細'!L79&gt;0,'班次明細'!G79&lt;=B96,'班次明細'!H79&gt;=C96),1,0),0))&gt;0,0,1)+IF((IF(RIGHT('班次明細'!O9,2)="吧台",IF(AND('班次明細'!L9&gt;0,'班次明細'!G9&lt;=B96,'班次明細'!H9&gt;=C96),1,0),0)+IF(RIGHT('班次明細'!O16,2)="吧台",IF(AND('班次明細'!L16&gt;0,'班次明細'!G16&lt;=B96,'班次明細'!H16&gt;=C96),1,0),0)+IF(RIGHT('班次明細'!O23,2)="吧台",IF(AND('班次明細'!L23&gt;0,'班次明細'!G23&lt;=B96,'班次明細'!H23&gt;=C96),1,0),0)+IF(RIGHT('班次明細'!O30,2)="吧台",IF(AND('班次明細'!L30&gt;0,'班次明細'!G30&lt;=B96,'班次明細'!H30&gt;=C96),1,0),0)+IF(RIGHT('班次明細'!O37,2)="吧台",IF(AND('班次明細'!L37&gt;0,'班次明細'!G37&lt;=B96,'班次明細'!H37&gt;=C96),1,0),0)+IF(RIGHT('班次明細'!O44,2)="吧台",IF(AND('班次明細'!L44&gt;0,'班次明細'!G44&lt;=B96,'班次明細'!H44&gt;=C96),1,0),0)+IF(RIGHT('班次明細'!O51,2)="吧台",IF(AND('班次明細'!L51&gt;0,'班次明細'!G51&lt;=B96,'班次明細'!H51&gt;=C96),1,0),0)+IF(RIGHT('班次明細'!O58,2)="吧台",IF(AND('班次明細'!L58&gt;0,'班次明細'!G58&lt;=B96,'班次明細'!H58&gt;=C96),1,0),0)+IF(RIGHT('班次明細'!O65,2)="吧台",IF(AND('班次明細'!L65&gt;0,'班次明細'!G65&lt;=B96,'班次明細'!H65&gt;=C96),1,0),0)+IF(RIGHT('班次明細'!O72,2)="吧台",IF(AND('班次明細'!L72&gt;0,'班次明細'!G72&lt;=B96,'班次明細'!H72&gt;=C96),1,0),0)+IF(RIGHT('班次明細'!O79,2)="吧台",IF(AND('班次明細'!L79&gt;0,'班次明細'!G79&lt;=B96,'班次明細'!H79&gt;=C96),1,0),0))&gt;0,0,1)+IF((IF(RIGHT('班次明細'!O9,2)="司爐",IF(AND('班次明細'!L9&gt;0,'班次明細'!G9&lt;=B96,'班次明細'!H9&gt;=C96),1,0),0)+IF(RIGHT('班次明細'!O16,2)="司爐",IF(AND('班次明細'!L16&gt;0,'班次明細'!G16&lt;=B96,'班次明細'!H16&gt;=C96),1,0),0)+IF(RIGHT('班次明細'!O23,2)="司爐",IF(AND('班次明細'!L23&gt;0,'班次明細'!G23&lt;=B96,'班次明細'!H23&gt;=C96),1,0),0)+IF(RIGHT('班次明細'!O30,2)="司爐",IF(AND('班次明細'!L30&gt;0,'班次明細'!G30&lt;=B96,'班次明細'!H30&gt;=C96),1,0),0)+IF(RIGHT('班次明細'!O37,2)="司爐",IF(AND('班次明細'!L37&gt;0,'班次明細'!G37&lt;=B96,'班次明細'!H37&gt;=C96),1,0),0)+IF(RIGHT('班次明細'!O44,2)="司爐",IF(AND('班次明細'!L44&gt;0,'班次明細'!G44&lt;=B96,'班次明細'!H44&gt;=C96),1,0),0)+IF(RIGHT('班次明細'!O51,2)="司爐",IF(AND('班次明細'!L51&gt;0,'班次明細'!G51&lt;=B96,'班次明細'!H51&gt;=C96),1,0),0)+IF(RIGHT('班次明細'!O58,2)="司爐",IF(AND('班次明細'!L58&gt;0,'班次明細'!G58&lt;=B96,'班次明細'!H58&gt;=C96),1,0),0)+IF(RIGHT('班次明細'!O65,2)="司爐",IF(AND('班次明細'!L65&gt;0,'班次明細'!G65&lt;=B96,'班次明細'!H65&gt;=C96),1,0),0)+IF(RIGHT('班次明細'!O72,2)="司爐",IF(AND('班次明細'!L72&gt;0,'班次明細'!G72&lt;=B96,'班次明細'!H72&gt;=C96),1,0),0)+IF(RIGHT('班次明細'!O79,2)="司爐",IF(AND('班次明細'!L79&gt;0,'班次明細'!G79&lt;=B96,'班次明細'!H79&gt;=C96),1,0),0))&gt;0,0,1)+IF((IF(RIGHT('班次明細'!O9,2)="料區",IF(AND('班次明細'!L9&gt;0,'班次明細'!G9&lt;=B96,'班次明細'!H9&gt;=C96),1,0),0)+IF(RIGHT('班次明細'!O16,2)="料區",IF(AND('班次明細'!L16&gt;0,'班次明細'!G16&lt;=B96,'班次明細'!H16&gt;=C96),1,0),0)+IF(RIGHT('班次明細'!O23,2)="料區",IF(AND('班次明細'!L23&gt;0,'班次明細'!G23&lt;=B96,'班次明細'!H23&gt;=C96),1,0),0)+IF(RIGHT('班次明細'!O30,2)="料區",IF(AND('班次明細'!L30&gt;0,'班次明細'!G30&lt;=B96,'班次明細'!H30&gt;=C96),1,0),0)+IF(RIGHT('班次明細'!O37,2)="料區",IF(AND('班次明細'!L37&gt;0,'班次明細'!G37&lt;=B96,'班次明細'!H37&gt;=C96),1,0),0)+IF(RIGHT('班次明細'!O44,2)="料區",IF(AND('班次明細'!L44&gt;0,'班次明細'!G44&lt;=B96,'班次明細'!H44&gt;=C96),1,0),0)+IF(RIGHT('班次明細'!O51,2)="料區",IF(AND('班次明細'!L51&gt;0,'班次明細'!G51&lt;=B96,'班次明細'!H51&gt;=C96),1,0),0)+IF(RIGHT('班次明細'!O58,2)="料區",IF(AND('班次明細'!L58&gt;0,'班次明細'!G58&lt;=B96,'班次明細'!H58&gt;=C96),1,0),0)+IF(RIGHT('班次明細'!O65,2)="料區",IF(AND('班次明細'!L65&gt;0,'班次明細'!G65&lt;=B96,'班次明細'!H65&gt;=C96),1,0),0)+IF(RIGHT('班次明細'!O72,2)="料區",IF(AND('班次明細'!L72&gt;0,'班次明細'!G72&lt;=B96,'班次明細'!H72&gt;=C96),1,0),0)+IF(RIGHT('班次明細'!O79,2)="料區",IF(AND('班次明細'!L79&gt;0,'班次明細'!G79&lt;=B96,'班次明細'!H79&gt;=C96),1,0),0))&gt;0,0,1)+IF((IF(RIGHT('班次明細'!O9,2)="炸區",IF(AND('班次明細'!L9&gt;0,'班次明細'!G9&lt;=B96,'班次明細'!H9&gt;=C96),1,0),0)+IF(RIGHT('班次明細'!O16,2)="炸區",IF(AND('班次明細'!L16&gt;0,'班次明細'!G16&lt;=B96,'班次明細'!H16&gt;=C96),1,0),0)+IF(RIGHT('班次明細'!O23,2)="炸區",IF(AND('班次明細'!L23&gt;0,'班次明細'!G23&lt;=B96,'班次明細'!H23&gt;=C96),1,0),0)+IF(RIGHT('班次明細'!O30,2)="炸區",IF(AND('班次明細'!L30&gt;0,'班次明細'!G30&lt;=B96,'班次明細'!H30&gt;=C96),1,0),0)+IF(RIGHT('班次明細'!O37,2)="炸區",IF(AND('班次明細'!L37&gt;0,'班次明細'!G37&lt;=B96,'班次明細'!H37&gt;=C96),1,0),0)+IF(RIGHT('班次明細'!O44,2)="炸區",IF(AND('班次明細'!L44&gt;0,'班次明細'!G44&lt;=B96,'班次明細'!H44&gt;=C96),1,0),0)+IF(RIGHT('班次明細'!O51,2)="炸區",IF(AND('班次明細'!L51&gt;0,'班次明細'!G51&lt;=B96,'班次明細'!H51&gt;=C96),1,0),0)+IF(RIGHT('班次明細'!O58,2)="炸區",IF(AND('班次明細'!L58&gt;0,'班次明細'!G58&lt;=B96,'班次明細'!H58&gt;=C96),1,0),0)+IF(RIGHT('班次明細'!O65,2)="炸區",IF(AND('班次明細'!L65&gt;0,'班次明細'!G65&lt;=B96,'班次明細'!H65&gt;=C96),1,0),0)+IF(RIGHT('班次明細'!O72,2)="炸區",IF(AND('班次明細'!L72&gt;0,'班次明細'!G72&lt;=B96,'班次明細'!H72&gt;=C96),1,0),0)+IF(RIGHT('班次明細'!O79,2)="炸區",IF(AND('班次明細'!L79&gt;0,'班次明細'!G79&lt;=B96,'班次明細'!H79&gt;=C96),1,0),0))&gt;0,0,1)</x:f>
        <x:v>0</x:v>
      </x:c>
      <x:c r="K96" s="11" t="str">
        <x:v>P01:外場；P03:吧台；P04:料區；P08:司爐；P09:炸區</x:v>
      </x:c>
      <x:c r="L96" s="11" t="str">
        <x:f>IF(OR(H96&gt;0,I96&gt;0,J96&gt;0),"缺口／超額待處理","主崗齊；休息待現場")</x:f>
        <x:v>主崗齊；休息待現場</x:v>
      </x:c>
    </x:row>
    <x:row r="97" ht="42" customHeight="1">
      <x:c r="A97" s="12" t="n">
        <x:v>46317</x:v>
      </x:c>
      <x:c r="B97" s="13" t="n">
        <x:v>0.8125</x:v>
      </x:c>
      <x:c r="C97" s="13" t="n">
        <x:v>0.8333333333333334</x:v>
      </x:c>
      <x:c r="D97" s="2" t="str">
        <x:v>營運參考</x:v>
      </x:c>
      <x:c r="E97" s="2" t="n">
        <x:v>0</x:v>
      </x:c>
      <x:c r="F97" s="2"/>
      <x:c r="G97" s="2" t="n">
        <x:f>IF(AND('班次明細'!L9&gt;0,'班次明細'!G9&lt;=B97,'班次明細'!H9&gt;=C97),1,0)+IF(AND('班次明細'!L16&gt;0,'班次明細'!G16&lt;=B97,'班次明細'!H16&gt;=C97),1,0)+IF(AND('班次明細'!L23&gt;0,'班次明細'!G23&lt;=B97,'班次明細'!H23&gt;=C97),1,0)+IF(AND('班次明細'!L30&gt;0,'班次明細'!G30&lt;=B97,'班次明細'!H30&gt;=C97),1,0)+IF(AND('班次明細'!L37&gt;0,'班次明細'!G37&lt;=B97,'班次明細'!H37&gt;=C97),1,0)+IF(AND('班次明細'!L44&gt;0,'班次明細'!G44&lt;=B97,'班次明細'!H44&gt;=C97),1,0)+IF(AND('班次明細'!L51&gt;0,'班次明細'!G51&lt;=B97,'班次明細'!H51&gt;=C97),1,0)+IF(AND('班次明細'!L58&gt;0,'班次明細'!G58&lt;=B97,'班次明細'!H58&gt;=C97),1,0)+IF(AND('班次明細'!L65&gt;0,'班次明細'!G65&lt;=B97,'班次明細'!H65&gt;=C97),1,0)+IF(AND('班次明細'!L72&gt;0,'班次明細'!G72&lt;=B97,'班次明細'!H72&gt;=C97),1,0)+IF(AND('班次明細'!L79&gt;0,'班次明細'!G79&lt;=B97,'班次明細'!H79&gt;=C97),1,0)</x:f>
        <x:v>5</x:v>
      </x:c>
      <x:c r="H97" s="2" t="n">
        <x:f>MAX(0,E97-G97)</x:f>
        <x:v>0</x:v>
      </x:c>
      <x:c r="I97" s="2" t="n">
        <x:f>IF(F97="",0,MAX(0,G97-F97))</x:f>
        <x:v>0</x:v>
      </x:c>
      <x:c r="J97" s="2" t="n">
        <x:v>0</x:v>
      </x:c>
      <x:c r="K97" s="11" t="str">
        <x:v>—</x:v>
      </x:c>
      <x:c r="L97" s="11" t="str">
        <x:f>"營運參考"</x:f>
        <x:v>營運參考</x:v>
      </x:c>
    </x:row>
    <x:row r="98" ht="42" customHeight="1">
      <x:c r="A98" s="12" t="n">
        <x:v>46317</x:v>
      </x:c>
      <x:c r="B98" s="13" t="n">
        <x:v>0.8333333333333334</x:v>
      </x:c>
      <x:c r="C98" s="13" t="n">
        <x:v>0.8541666666666666</x:v>
      </x:c>
      <x:c r="D98" s="2" t="str">
        <x:v>營運參考</x:v>
      </x:c>
      <x:c r="E98" s="2" t="n">
        <x:v>0</x:v>
      </x:c>
      <x:c r="F98" s="2"/>
      <x:c r="G98" s="2" t="n">
        <x:f>IF(AND('班次明細'!L9&gt;0,'班次明細'!G9&lt;=B98,'班次明細'!H9&gt;=C98),1,0)+IF(AND('班次明細'!L16&gt;0,'班次明細'!G16&lt;=B98,'班次明細'!H16&gt;=C98),1,0)+IF(AND('班次明細'!L23&gt;0,'班次明細'!G23&lt;=B98,'班次明細'!H23&gt;=C98),1,0)+IF(AND('班次明細'!L30&gt;0,'班次明細'!G30&lt;=B98,'班次明細'!H30&gt;=C98),1,0)+IF(AND('班次明細'!L37&gt;0,'班次明細'!G37&lt;=B98,'班次明細'!H37&gt;=C98),1,0)+IF(AND('班次明細'!L44&gt;0,'班次明細'!G44&lt;=B98,'班次明細'!H44&gt;=C98),1,0)+IF(AND('班次明細'!L51&gt;0,'班次明細'!G51&lt;=B98,'班次明細'!H51&gt;=C98),1,0)+IF(AND('班次明細'!L58&gt;0,'班次明細'!G58&lt;=B98,'班次明細'!H58&gt;=C98),1,0)+IF(AND('班次明細'!L65&gt;0,'班次明細'!G65&lt;=B98,'班次明細'!H65&gt;=C98),1,0)+IF(AND('班次明細'!L72&gt;0,'班次明細'!G72&lt;=B98,'班次明細'!H72&gt;=C98),1,0)+IF(AND('班次明細'!L79&gt;0,'班次明細'!G79&lt;=B98,'班次明細'!H79&gt;=C98),1,0)</x:f>
        <x:v>5</x:v>
      </x:c>
      <x:c r="H98" s="2" t="n">
        <x:f>MAX(0,E98-G98)</x:f>
        <x:v>0</x:v>
      </x:c>
      <x:c r="I98" s="2" t="n">
        <x:f>IF(F98="",0,MAX(0,G98-F98))</x:f>
        <x:v>0</x:v>
      </x:c>
      <x:c r="J98" s="2" t="n">
        <x:v>0</x:v>
      </x:c>
      <x:c r="K98" s="11" t="str">
        <x:v>—</x:v>
      </x:c>
      <x:c r="L98" s="11" t="str">
        <x:f>"營運參考"</x:f>
        <x:v>營運參考</x:v>
      </x:c>
    </x:row>
    <x:row r="99" ht="42" customHeight="1">
      <x:c r="A99" s="12" t="n">
        <x:v>46317</x:v>
      </x:c>
      <x:c r="B99" s="13" t="n">
        <x:v>0.8541666666666666</x:v>
      </x:c>
      <x:c r="C99" s="13" t="n">
        <x:v>0.875</x:v>
      </x:c>
      <x:c r="D99" s="2" t="str">
        <x:v>營運參考</x:v>
      </x:c>
      <x:c r="E99" s="2" t="n">
        <x:v>0</x:v>
      </x:c>
      <x:c r="F99" s="2"/>
      <x:c r="G99" s="2" t="n">
        <x:f>IF(AND('班次明細'!L9&gt;0,'班次明細'!G9&lt;=B99,'班次明細'!H9&gt;=C99),1,0)+IF(AND('班次明細'!L16&gt;0,'班次明細'!G16&lt;=B99,'班次明細'!H16&gt;=C99),1,0)+IF(AND('班次明細'!L23&gt;0,'班次明細'!G23&lt;=B99,'班次明細'!H23&gt;=C99),1,0)+IF(AND('班次明細'!L30&gt;0,'班次明細'!G30&lt;=B99,'班次明細'!H30&gt;=C99),1,0)+IF(AND('班次明細'!L37&gt;0,'班次明細'!G37&lt;=B99,'班次明細'!H37&gt;=C99),1,0)+IF(AND('班次明細'!L44&gt;0,'班次明細'!G44&lt;=B99,'班次明細'!H44&gt;=C99),1,0)+IF(AND('班次明細'!L51&gt;0,'班次明細'!G51&lt;=B99,'班次明細'!H51&gt;=C99),1,0)+IF(AND('班次明細'!L58&gt;0,'班次明細'!G58&lt;=B99,'班次明細'!H58&gt;=C99),1,0)+IF(AND('班次明細'!L65&gt;0,'班次明細'!G65&lt;=B99,'班次明細'!H65&gt;=C99),1,0)+IF(AND('班次明細'!L72&gt;0,'班次明細'!G72&lt;=B99,'班次明細'!H72&gt;=C99),1,0)+IF(AND('班次明細'!L79&gt;0,'班次明細'!G79&lt;=B99,'班次明細'!H79&gt;=C99),1,0)</x:f>
        <x:v>5</x:v>
      </x:c>
      <x:c r="H99" s="2" t="n">
        <x:f>MAX(0,E99-G99)</x:f>
        <x:v>0</x:v>
      </x:c>
      <x:c r="I99" s="2" t="n">
        <x:f>IF(F99="",0,MAX(0,G99-F99))</x:f>
        <x:v>0</x:v>
      </x:c>
      <x:c r="J99" s="2" t="n">
        <x:v>0</x:v>
      </x:c>
      <x:c r="K99" s="11" t="str">
        <x:v>—</x:v>
      </x:c>
      <x:c r="L99" s="11" t="str">
        <x:f>"營運參考"</x:f>
        <x:v>營運參考</x:v>
      </x:c>
    </x:row>
    <x:row r="100" ht="42" customHeight="1">
      <x:c r="A100" s="12" t="n">
        <x:v>46317</x:v>
      </x:c>
      <x:c r="B100" s="13" t="n">
        <x:v>0.875</x:v>
      </x:c>
      <x:c r="C100" s="13" t="n">
        <x:v>0.8958333333333334</x:v>
      </x:c>
      <x:c r="D100" s="2" t="str">
        <x:v>營運參考</x:v>
      </x:c>
      <x:c r="E100" s="2" t="n">
        <x:v>0</x:v>
      </x:c>
      <x:c r="F100" s="2"/>
      <x:c r="G100" s="2" t="n">
        <x:f>IF(AND('班次明細'!L9&gt;0,'班次明細'!G9&lt;=B100,'班次明細'!H9&gt;=C100),1,0)+IF(AND('班次明細'!L16&gt;0,'班次明細'!G16&lt;=B100,'班次明細'!H16&gt;=C100),1,0)+IF(AND('班次明細'!L23&gt;0,'班次明細'!G23&lt;=B100,'班次明細'!H23&gt;=C100),1,0)+IF(AND('班次明細'!L30&gt;0,'班次明細'!G30&lt;=B100,'班次明細'!H30&gt;=C100),1,0)+IF(AND('班次明細'!L37&gt;0,'班次明細'!G37&lt;=B100,'班次明細'!H37&gt;=C100),1,0)+IF(AND('班次明細'!L44&gt;0,'班次明細'!G44&lt;=B100,'班次明細'!H44&gt;=C100),1,0)+IF(AND('班次明細'!L51&gt;0,'班次明細'!G51&lt;=B100,'班次明細'!H51&gt;=C100),1,0)+IF(AND('班次明細'!L58&gt;0,'班次明細'!G58&lt;=B100,'班次明細'!H58&gt;=C100),1,0)+IF(AND('班次明細'!L65&gt;0,'班次明細'!G65&lt;=B100,'班次明細'!H65&gt;=C100),1,0)+IF(AND('班次明細'!L72&gt;0,'班次明細'!G72&lt;=B100,'班次明細'!H72&gt;=C100),1,0)+IF(AND('班次明細'!L79&gt;0,'班次明細'!G79&lt;=B100,'班次明細'!H79&gt;=C100),1,0)</x:f>
        <x:v>4</x:v>
      </x:c>
      <x:c r="H100" s="2" t="n">
        <x:f>MAX(0,E100-G100)</x:f>
        <x:v>0</x:v>
      </x:c>
      <x:c r="I100" s="2" t="n">
        <x:f>IF(F100="",0,MAX(0,G100-F100))</x:f>
        <x:v>0</x:v>
      </x:c>
      <x:c r="J100" s="2" t="n">
        <x:v>0</x:v>
      </x:c>
      <x:c r="K100" s="11" t="str">
        <x:v>—</x:v>
      </x:c>
      <x:c r="L100" s="11" t="str">
        <x:f>"營運參考"</x:f>
        <x:v>營運參考</x:v>
      </x:c>
    </x:row>
    <x:row r="101" ht="42" customHeight="1">
      <x:c r="A101" s="12" t="n">
        <x:v>46317</x:v>
      </x:c>
      <x:c r="B101" s="13" t="n">
        <x:v>0.8958333333333334</x:v>
      </x:c>
      <x:c r="C101" s="13" t="n">
        <x:v>0.9166666666666666</x:v>
      </x:c>
      <x:c r="D101" s="2" t="str">
        <x:v>營運參考</x:v>
      </x:c>
      <x:c r="E101" s="2" t="n">
        <x:v>0</x:v>
      </x:c>
      <x:c r="F101" s="2"/>
      <x:c r="G101" s="2" t="n">
        <x:f>IF(AND('班次明細'!L9&gt;0,'班次明細'!G9&lt;=B101,'班次明細'!H9&gt;=C101),1,0)+IF(AND('班次明細'!L16&gt;0,'班次明細'!G16&lt;=B101,'班次明細'!H16&gt;=C101),1,0)+IF(AND('班次明細'!L23&gt;0,'班次明細'!G23&lt;=B101,'班次明細'!H23&gt;=C101),1,0)+IF(AND('班次明細'!L30&gt;0,'班次明細'!G30&lt;=B101,'班次明細'!H30&gt;=C101),1,0)+IF(AND('班次明細'!L37&gt;0,'班次明細'!G37&lt;=B101,'班次明細'!H37&gt;=C101),1,0)+IF(AND('班次明細'!L44&gt;0,'班次明細'!G44&lt;=B101,'班次明細'!H44&gt;=C101),1,0)+IF(AND('班次明細'!L51&gt;0,'班次明細'!G51&lt;=B101,'班次明細'!H51&gt;=C101),1,0)+IF(AND('班次明細'!L58&gt;0,'班次明細'!G58&lt;=B101,'班次明細'!H58&gt;=C101),1,0)+IF(AND('班次明細'!L65&gt;0,'班次明細'!G65&lt;=B101,'班次明細'!H65&gt;=C101),1,0)+IF(AND('班次明細'!L72&gt;0,'班次明細'!G72&lt;=B101,'班次明細'!H72&gt;=C101),1,0)+IF(AND('班次明細'!L79&gt;0,'班次明細'!G79&lt;=B101,'班次明細'!H79&gt;=C101),1,0)</x:f>
        <x:v>0</x:v>
      </x:c>
      <x:c r="H101" s="2" t="n">
        <x:f>MAX(0,E101-G101)</x:f>
        <x:v>0</x:v>
      </x:c>
      <x:c r="I101" s="2" t="n">
        <x:f>IF(F101="",0,MAX(0,G101-F101))</x:f>
        <x:v>0</x:v>
      </x:c>
      <x:c r="J101" s="2" t="n">
        <x:v>0</x:v>
      </x:c>
      <x:c r="K101" s="11" t="str">
        <x:v>—</x:v>
      </x:c>
      <x:c r="L101" s="11" t="str">
        <x:f>"營運參考"</x:f>
        <x:v>營運參考</x:v>
      </x:c>
    </x:row>
    <x:row r="102" ht="42" customHeight="1">
      <x:c r="A102" s="12" t="n">
        <x:v>46318</x:v>
      </x:c>
      <x:c r="B102" s="13" t="n">
        <x:v>0.4166666666666667</x:v>
      </x:c>
      <x:c r="C102" s="13" t="n">
        <x:v>0.4375</x:v>
      </x:c>
      <x:c r="D102" s="2" t="str">
        <x:v>營運參考</x:v>
      </x:c>
      <x:c r="E102" s="2" t="n">
        <x:v>1</x:v>
      </x:c>
      <x:c r="F102" s="2"/>
      <x:c r="G102" s="2" t="n">
        <x:f>IF(AND('班次明細'!L10&gt;0,'班次明細'!G10&lt;=B102,'班次明細'!H10&gt;=C102),1,0)+IF(AND('班次明細'!L17&gt;0,'班次明細'!G17&lt;=B102,'班次明細'!H17&gt;=C102),1,0)+IF(AND('班次明細'!L24&gt;0,'班次明細'!G24&lt;=B102,'班次明細'!H24&gt;=C102),1,0)+IF(AND('班次明細'!L31&gt;0,'班次明細'!G31&lt;=B102,'班次明細'!H31&gt;=C102),1,0)+IF(AND('班次明細'!L38&gt;0,'班次明細'!G38&lt;=B102,'班次明細'!H38&gt;=C102),1,0)+IF(AND('班次明細'!L45&gt;0,'班次明細'!G45&lt;=B102,'班次明細'!H45&gt;=C102),1,0)+IF(AND('班次明細'!L52&gt;0,'班次明細'!G52&lt;=B102,'班次明細'!H52&gt;=C102),1,0)+IF(AND('班次明細'!L59&gt;0,'班次明細'!G59&lt;=B102,'班次明細'!H59&gt;=C102),1,0)+IF(AND('班次明細'!L66&gt;0,'班次明細'!G66&lt;=B102,'班次明細'!H66&gt;=C102),1,0)+IF(AND('班次明細'!L73&gt;0,'班次明細'!G73&lt;=B102,'班次明細'!H73&gt;=C102),1,0)+IF(AND('班次明細'!L80&gt;0,'班次明細'!G80&lt;=B102,'班次明細'!H80&gt;=C102),1,0)</x:f>
        <x:v>1</x:v>
      </x:c>
      <x:c r="H102" s="2" t="n">
        <x:f>MAX(0,E102-G102)</x:f>
        <x:v>0</x:v>
      </x:c>
      <x:c r="I102" s="2" t="n">
        <x:f>IF(F102="",0,MAX(0,G102-F102))</x:f>
        <x:v>0</x:v>
      </x:c>
      <x:c r="J102" s="2" t="n">
        <x:v>0</x:v>
      </x:c>
      <x:c r="K102" s="11" t="str">
        <x:v>—</x:v>
      </x:c>
      <x:c r="L102" s="11" t="str">
        <x:f>"營運參考"</x:f>
        <x:v>營運參考</x:v>
      </x:c>
    </x:row>
    <x:row r="103" ht="42" customHeight="1">
      <x:c r="A103" s="12" t="n">
        <x:v>46318</x:v>
      </x:c>
      <x:c r="B103" s="13" t="n">
        <x:v>0.4375</x:v>
      </x:c>
      <x:c r="C103" s="13" t="n">
        <x:v>0.4583333333333333</x:v>
      </x:c>
      <x:c r="D103" s="2" t="str">
        <x:v>營運參考</x:v>
      </x:c>
      <x:c r="E103" s="2" t="n">
        <x:v>1</x:v>
      </x:c>
      <x:c r="F103" s="2"/>
      <x:c r="G103" s="2" t="n">
        <x:f>IF(AND('班次明細'!L10&gt;0,'班次明細'!G10&lt;=B103,'班次明細'!H10&gt;=C103),1,0)+IF(AND('班次明細'!L17&gt;0,'班次明細'!G17&lt;=B103,'班次明細'!H17&gt;=C103),1,0)+IF(AND('班次明細'!L24&gt;0,'班次明細'!G24&lt;=B103,'班次明細'!H24&gt;=C103),1,0)+IF(AND('班次明細'!L31&gt;0,'班次明細'!G31&lt;=B103,'班次明細'!H31&gt;=C103),1,0)+IF(AND('班次明細'!L38&gt;0,'班次明細'!G38&lt;=B103,'班次明細'!H38&gt;=C103),1,0)+IF(AND('班次明細'!L45&gt;0,'班次明細'!G45&lt;=B103,'班次明細'!H45&gt;=C103),1,0)+IF(AND('班次明細'!L52&gt;0,'班次明細'!G52&lt;=B103,'班次明細'!H52&gt;=C103),1,0)+IF(AND('班次明細'!L59&gt;0,'班次明細'!G59&lt;=B103,'班次明細'!H59&gt;=C103),1,0)+IF(AND('班次明細'!L66&gt;0,'班次明細'!G66&lt;=B103,'班次明細'!H66&gt;=C103),1,0)+IF(AND('班次明細'!L73&gt;0,'班次明細'!G73&lt;=B103,'班次明細'!H73&gt;=C103),1,0)+IF(AND('班次明細'!L80&gt;0,'班次明細'!G80&lt;=B103,'班次明細'!H80&gt;=C103),1,0)</x:f>
        <x:v>1</x:v>
      </x:c>
      <x:c r="H103" s="2" t="n">
        <x:f>MAX(0,E103-G103)</x:f>
        <x:v>0</x:v>
      </x:c>
      <x:c r="I103" s="2" t="n">
        <x:f>IF(F103="",0,MAX(0,G103-F103))</x:f>
        <x:v>0</x:v>
      </x:c>
      <x:c r="J103" s="2" t="n">
        <x:v>0</x:v>
      </x:c>
      <x:c r="K103" s="11" t="str">
        <x:v>—</x:v>
      </x:c>
      <x:c r="L103" s="11" t="str">
        <x:f>"營運參考"</x:f>
        <x:v>營運參考</x:v>
      </x:c>
    </x:row>
    <x:row r="104" ht="42" customHeight="1">
      <x:c r="A104" s="12" t="n">
        <x:v>46318</x:v>
      </x:c>
      <x:c r="B104" s="13" t="n">
        <x:v>0.4583333333333333</x:v>
      </x:c>
      <x:c r="C104" s="13" t="n">
        <x:v>0.4791666666666667</x:v>
      </x:c>
      <x:c r="D104" s="2" t="str">
        <x:v>營運參考</x:v>
      </x:c>
      <x:c r="E104" s="2" t="n">
        <x:v>0</x:v>
      </x:c>
      <x:c r="F104" s="2"/>
      <x:c r="G104" s="2" t="n">
        <x:f>IF(AND('班次明細'!L10&gt;0,'班次明細'!G10&lt;=B104,'班次明細'!H10&gt;=C104),1,0)+IF(AND('班次明細'!L17&gt;0,'班次明細'!G17&lt;=B104,'班次明細'!H17&gt;=C104),1,0)+IF(AND('班次明細'!L24&gt;0,'班次明細'!G24&lt;=B104,'班次明細'!H24&gt;=C104),1,0)+IF(AND('班次明細'!L31&gt;0,'班次明細'!G31&lt;=B104,'班次明細'!H31&gt;=C104),1,0)+IF(AND('班次明細'!L38&gt;0,'班次明細'!G38&lt;=B104,'班次明細'!H38&gt;=C104),1,0)+IF(AND('班次明細'!L45&gt;0,'班次明細'!G45&lt;=B104,'班次明細'!H45&gt;=C104),1,0)+IF(AND('班次明細'!L52&gt;0,'班次明細'!G52&lt;=B104,'班次明細'!H52&gt;=C104),1,0)+IF(AND('班次明細'!L59&gt;0,'班次明細'!G59&lt;=B104,'班次明細'!H59&gt;=C104),1,0)+IF(AND('班次明細'!L66&gt;0,'班次明細'!G66&lt;=B104,'班次明細'!H66&gt;=C104),1,0)+IF(AND('班次明細'!L73&gt;0,'班次明細'!G73&lt;=B104,'班次明細'!H73&gt;=C104),1,0)+IF(AND('班次明細'!L80&gt;0,'班次明細'!G80&lt;=B104,'班次明細'!H80&gt;=C104),1,0)</x:f>
        <x:v>2</x:v>
      </x:c>
      <x:c r="H104" s="2" t="n">
        <x:f>MAX(0,E104-G104)</x:f>
        <x:v>0</x:v>
      </x:c>
      <x:c r="I104" s="2" t="n">
        <x:f>IF(F104="",0,MAX(0,G104-F104))</x:f>
        <x:v>0</x:v>
      </x:c>
      <x:c r="J104" s="2" t="n">
        <x:v>0</x:v>
      </x:c>
      <x:c r="K104" s="11" t="str">
        <x:v>—</x:v>
      </x:c>
      <x:c r="L104" s="11" t="str">
        <x:f>"營運參考"</x:f>
        <x:v>營運參考</x:v>
      </x:c>
    </x:row>
    <x:row r="105" ht="42" customHeight="1">
      <x:c r="A105" s="12" t="n">
        <x:v>46318</x:v>
      </x:c>
      <x:c r="B105" s="13" t="n">
        <x:v>0.4791666666666667</x:v>
      </x:c>
      <x:c r="C105" s="13" t="n">
        <x:v>0.5</x:v>
      </x:c>
      <x:c r="D105" s="2" t="str">
        <x:v>營運參考</x:v>
      </x:c>
      <x:c r="E105" s="2" t="n">
        <x:v>0</x:v>
      </x:c>
      <x:c r="F105" s="2"/>
      <x:c r="G105" s="2" t="n">
        <x:f>IF(AND('班次明細'!L10&gt;0,'班次明細'!G10&lt;=B105,'班次明細'!H10&gt;=C105),1,0)+IF(AND('班次明細'!L17&gt;0,'班次明細'!G17&lt;=B105,'班次明細'!H17&gt;=C105),1,0)+IF(AND('班次明細'!L24&gt;0,'班次明細'!G24&lt;=B105,'班次明細'!H24&gt;=C105),1,0)+IF(AND('班次明細'!L31&gt;0,'班次明細'!G31&lt;=B105,'班次明細'!H31&gt;=C105),1,0)+IF(AND('班次明細'!L38&gt;0,'班次明細'!G38&lt;=B105,'班次明細'!H38&gt;=C105),1,0)+IF(AND('班次明細'!L45&gt;0,'班次明細'!G45&lt;=B105,'班次明細'!H45&gt;=C105),1,0)+IF(AND('班次明細'!L52&gt;0,'班次明細'!G52&lt;=B105,'班次明細'!H52&gt;=C105),1,0)+IF(AND('班次明細'!L59&gt;0,'班次明細'!G59&lt;=B105,'班次明細'!H59&gt;=C105),1,0)+IF(AND('班次明細'!L66&gt;0,'班次明細'!G66&lt;=B105,'班次明細'!H66&gt;=C105),1,0)+IF(AND('班次明細'!L73&gt;0,'班次明細'!G73&lt;=B105,'班次明細'!H73&gt;=C105),1,0)+IF(AND('班次明細'!L80&gt;0,'班次明細'!G80&lt;=B105,'班次明細'!H80&gt;=C105),1,0)</x:f>
        <x:v>3</x:v>
      </x:c>
      <x:c r="H105" s="2" t="n">
        <x:f>MAX(0,E105-G105)</x:f>
        <x:v>0</x:v>
      </x:c>
      <x:c r="I105" s="2" t="n">
        <x:f>IF(F105="",0,MAX(0,G105-F105))</x:f>
        <x:v>0</x:v>
      </x:c>
      <x:c r="J105" s="2" t="n">
        <x:v>0</x:v>
      </x:c>
      <x:c r="K105" s="11" t="str">
        <x:v>—</x:v>
      </x:c>
      <x:c r="L105" s="11" t="str">
        <x:f>"營運參考"</x:f>
        <x:v>營運參考</x:v>
      </x:c>
    </x:row>
    <x:row r="106" ht="42" customHeight="1">
      <x:c r="A106" s="12" t="n">
        <x:v>46318</x:v>
      </x:c>
      <x:c r="B106" s="13" t="n">
        <x:v>0.5</x:v>
      </x:c>
      <x:c r="C106" s="13" t="n">
        <x:v>0.5208333333333334</x:v>
      </x:c>
      <x:c r="D106" s="2" t="str">
        <x:v>午餐主崗</x:v>
      </x:c>
      <x:c r="E106" s="2" t="n">
        <x:v>4</x:v>
      </x:c>
      <x:c r="F106" s="2" t="n">
        <x:v>4</x:v>
      </x:c>
      <x:c r="G106" s="2" t="n">
        <x:f>IF(AND('班次明細'!L10&gt;0,'班次明細'!G10&lt;=B106,'班次明細'!H10&gt;=C106),1,0)+IF(AND('班次明細'!L17&gt;0,'班次明細'!G17&lt;=B106,'班次明細'!H17&gt;=C106),1,0)+IF(AND('班次明細'!L24&gt;0,'班次明細'!G24&lt;=B106,'班次明細'!H24&gt;=C106),1,0)+IF(AND('班次明細'!L31&gt;0,'班次明細'!G31&lt;=B106,'班次明細'!H31&gt;=C106),1,0)+IF(AND('班次明細'!L38&gt;0,'班次明細'!G38&lt;=B106,'班次明細'!H38&gt;=C106),1,0)+IF(AND('班次明細'!L45&gt;0,'班次明細'!G45&lt;=B106,'班次明細'!H45&gt;=C106),1,0)+IF(AND('班次明細'!L52&gt;0,'班次明細'!G52&lt;=B106,'班次明細'!H52&gt;=C106),1,0)+IF(AND('班次明細'!L59&gt;0,'班次明細'!G59&lt;=B106,'班次明細'!H59&gt;=C106),1,0)+IF(AND('班次明細'!L66&gt;0,'班次明細'!G66&lt;=B106,'班次明細'!H66&gt;=C106),1,0)+IF(AND('班次明細'!L73&gt;0,'班次明細'!G73&lt;=B106,'班次明細'!H73&gt;=C106),1,0)+IF(AND('班次明細'!L80&gt;0,'班次明細'!G80&lt;=B106,'班次明細'!H80&gt;=C106),1,0)</x:f>
        <x:v>4</x:v>
      </x:c>
      <x:c r="H106" s="2" t="n">
        <x:f>MAX(0,E106-G106)</x:f>
        <x:v>0</x:v>
      </x:c>
      <x:c r="I106" s="2" t="n">
        <x:f>IF(F106="",0,MAX(0,G106-F106))</x:f>
        <x:v>0</x:v>
      </x:c>
      <x:c r="J106" s="2" t="n">
        <x:f>IF((IF(LEFT('班次明細'!O10,2)="外場",IF(AND('班次明細'!L10&gt;0,'班次明細'!G10&lt;=B106,'班次明細'!H10&gt;=C106),1,0),0)+IF(LEFT('班次明細'!O17,2)="外場",IF(AND('班次明細'!L17&gt;0,'班次明細'!G17&lt;=B106,'班次明細'!H17&gt;=C106),1,0),0)+IF(LEFT('班次明細'!O24,2)="外場",IF(AND('班次明細'!L24&gt;0,'班次明細'!G24&lt;=B106,'班次明細'!H24&gt;=C106),1,0),0)+IF(LEFT('班次明細'!O31,2)="外場",IF(AND('班次明細'!L31&gt;0,'班次明細'!G31&lt;=B106,'班次明細'!H31&gt;=C106),1,0),0)+IF(LEFT('班次明細'!O38,2)="外場",IF(AND('班次明細'!L38&gt;0,'班次明細'!G38&lt;=B106,'班次明細'!H38&gt;=C106),1,0),0)+IF(LEFT('班次明細'!O45,2)="外場",IF(AND('班次明細'!L45&gt;0,'班次明細'!G45&lt;=B106,'班次明細'!H45&gt;=C106),1,0),0)+IF(LEFT('班次明細'!O52,2)="外場",IF(AND('班次明細'!L52&gt;0,'班次明細'!G52&lt;=B106,'班次明細'!H52&gt;=C106),1,0),0)+IF(LEFT('班次明細'!O59,2)="外場",IF(AND('班次明細'!L59&gt;0,'班次明細'!G59&lt;=B106,'班次明細'!H59&gt;=C106),1,0),0)+IF(LEFT('班次明細'!O66,2)="外場",IF(AND('班次明細'!L66&gt;0,'班次明細'!G66&lt;=B106,'班次明細'!H66&gt;=C106),1,0),0)+IF(LEFT('班次明細'!O73,2)="外場",IF(AND('班次明細'!L73&gt;0,'班次明細'!G73&lt;=B106,'班次明細'!H73&gt;=C106),1,0),0)+IF(LEFT('班次明細'!O80,2)="外場",IF(AND('班次明細'!L80&gt;0,'班次明細'!G80&lt;=B106,'班次明細'!H80&gt;=C106),1,0),0))&gt;0,0,1)+IF((IF(LEFT('班次明細'!O10,2)="吧台",IF(AND('班次明細'!L10&gt;0,'班次明細'!G10&lt;=B106,'班次明細'!H10&gt;=C106),1,0),0)+IF(LEFT('班次明細'!O17,2)="吧台",IF(AND('班次明細'!L17&gt;0,'班次明細'!G17&lt;=B106,'班次明細'!H17&gt;=C106),1,0),0)+IF(LEFT('班次明細'!O24,2)="吧台",IF(AND('班次明細'!L24&gt;0,'班次明細'!G24&lt;=B106,'班次明細'!H24&gt;=C106),1,0),0)+IF(LEFT('班次明細'!O31,2)="吧台",IF(AND('班次明細'!L31&gt;0,'班次明細'!G31&lt;=B106,'班次明細'!H31&gt;=C106),1,0),0)+IF(LEFT('班次明細'!O38,2)="吧台",IF(AND('班次明細'!L38&gt;0,'班次明細'!G38&lt;=B106,'班次明細'!H38&gt;=C106),1,0),0)+IF(LEFT('班次明細'!O45,2)="吧台",IF(AND('班次明細'!L45&gt;0,'班次明細'!G45&lt;=B106,'班次明細'!H45&gt;=C106),1,0),0)+IF(LEFT('班次明細'!O52,2)="吧台",IF(AND('班次明細'!L52&gt;0,'班次明細'!G52&lt;=B106,'班次明細'!H52&gt;=C106),1,0),0)+IF(LEFT('班次明細'!O59,2)="吧台",IF(AND('班次明細'!L59&gt;0,'班次明細'!G59&lt;=B106,'班次明細'!H59&gt;=C106),1,0),0)+IF(LEFT('班次明細'!O66,2)="吧台",IF(AND('班次明細'!L66&gt;0,'班次明細'!G66&lt;=B106,'班次明細'!H66&gt;=C106),1,0),0)+IF(LEFT('班次明細'!O73,2)="吧台",IF(AND('班次明細'!L73&gt;0,'班次明細'!G73&lt;=B106,'班次明細'!H73&gt;=C106),1,0),0)+IF(LEFT('班次明細'!O80,2)="吧台",IF(AND('班次明細'!L80&gt;0,'班次明細'!G80&lt;=B106,'班次明細'!H80&gt;=C106),1,0),0))&gt;0,0,1)+MAX(0,2-(IF(LEFT('班次明細'!O10,2)="司爐",IF(AND('班次明細'!L10&gt;0,'班次明細'!G10&lt;=B106,'班次明細'!H10&gt;=C106),1,0),0)+IF(LEFT('班次明細'!O17,2)="司爐",IF(AND('班次明細'!L17&gt;0,'班次明細'!G17&lt;=B106,'班次明細'!H17&gt;=C106),1,0),0)+IF(LEFT('班次明細'!O24,2)="司爐",IF(AND('班次明細'!L24&gt;0,'班次明細'!G24&lt;=B106,'班次明細'!H24&gt;=C106),1,0),0)+IF(LEFT('班次明細'!O31,2)="司爐",IF(AND('班次明細'!L31&gt;0,'班次明細'!G31&lt;=B106,'班次明細'!H31&gt;=C106),1,0),0)+IF(LEFT('班次明細'!O38,2)="司爐",IF(AND('班次明細'!L38&gt;0,'班次明細'!G38&lt;=B106,'班次明細'!H38&gt;=C106),1,0),0)+IF(LEFT('班次明細'!O45,2)="司爐",IF(AND('班次明細'!L45&gt;0,'班次明細'!G45&lt;=B106,'班次明細'!H45&gt;=C106),1,0),0)+IF(LEFT('班次明細'!O52,2)="司爐",IF(AND('班次明細'!L52&gt;0,'班次明細'!G52&lt;=B106,'班次明細'!H52&gt;=C106),1,0),0)+IF(LEFT('班次明細'!O59,2)="司爐",IF(AND('班次明細'!L59&gt;0,'班次明細'!G59&lt;=B106,'班次明細'!H59&gt;=C106),1,0),0)+IF(LEFT('班次明細'!O66,2)="司爐",IF(AND('班次明細'!L66&gt;0,'班次明細'!G66&lt;=B106,'班次明細'!H66&gt;=C106),1,0),0)+IF(LEFT('班次明細'!O73,2)="司爐",IF(AND('班次明細'!L73&gt;0,'班次明細'!G73&lt;=B106,'班次明細'!H73&gt;=C106),1,0),0)+IF(LEFT('班次明細'!O80,2)="司爐",IF(AND('班次明細'!L80&gt;0,'班次明細'!G80&lt;=B106,'班次明細'!H80&gt;=C106),1,0),0)+IF(LEFT('班次明細'!O10,2)="料區",IF(AND('班次明細'!L10&gt;0,'班次明細'!G10&lt;=B106,'班次明細'!H10&gt;=C106),1,0),0)+IF(LEFT('班次明細'!O17,2)="料區",IF(AND('班次明細'!L17&gt;0,'班次明細'!G17&lt;=B106,'班次明細'!H17&gt;=C106),1,0),0)+IF(LEFT('班次明細'!O24,2)="料區",IF(AND('班次明細'!L24&gt;0,'班次明細'!G24&lt;=B106,'班次明細'!H24&gt;=C106),1,0),0)+IF(LEFT('班次明細'!O31,2)="料區",IF(AND('班次明細'!L31&gt;0,'班次明細'!G31&lt;=B106,'班次明細'!H31&gt;=C106),1,0),0)+IF(LEFT('班次明細'!O38,2)="料區",IF(AND('班次明細'!L38&gt;0,'班次明細'!G38&lt;=B106,'班次明細'!H38&gt;=C106),1,0),0)+IF(LEFT('班次明細'!O45,2)="料區",IF(AND('班次明細'!L45&gt;0,'班次明細'!G45&lt;=B106,'班次明細'!H45&gt;=C106),1,0),0)+IF(LEFT('班次明細'!O52,2)="料區",IF(AND('班次明細'!L52&gt;0,'班次明細'!G52&lt;=B106,'班次明細'!H52&gt;=C106),1,0),0)+IF(LEFT('班次明細'!O59,2)="料區",IF(AND('班次明細'!L59&gt;0,'班次明細'!G59&lt;=B106,'班次明細'!H59&gt;=C106),1,0),0)+IF(LEFT('班次明細'!O66,2)="料區",IF(AND('班次明細'!L66&gt;0,'班次明細'!G66&lt;=B106,'班次明細'!H66&gt;=C106),1,0),0)+IF(LEFT('班次明細'!O73,2)="料區",IF(AND('班次明細'!L73&gt;0,'班次明細'!G73&lt;=B106,'班次明細'!H73&gt;=C106),1,0),0)+IF(LEFT('班次明細'!O80,2)="料區",IF(AND('班次明細'!L80&gt;0,'班次明細'!G80&lt;=B106,'班次明細'!H80&gt;=C106),1,0),0)+IF(LEFT('班次明細'!O10,2)="炸區",IF(AND('班次明細'!L10&gt;0,'班次明細'!G10&lt;=B106,'班次明細'!H10&gt;=C106),1,0),0)+IF(LEFT('班次明細'!O17,2)="炸區",IF(AND('班次明細'!L17&gt;0,'班次明細'!G17&lt;=B106,'班次明細'!H17&gt;=C106),1,0),0)+IF(LEFT('班次明細'!O24,2)="炸區",IF(AND('班次明細'!L24&gt;0,'班次明細'!G24&lt;=B106,'班次明細'!H24&gt;=C106),1,0),0)+IF(LEFT('班次明細'!O31,2)="炸區",IF(AND('班次明細'!L31&gt;0,'班次明細'!G31&lt;=B106,'班次明細'!H31&gt;=C106),1,0),0)+IF(LEFT('班次明細'!O38,2)="炸區",IF(AND('班次明細'!L38&gt;0,'班次明細'!G38&lt;=B106,'班次明細'!H38&gt;=C106),1,0),0)+IF(LEFT('班次明細'!O45,2)="炸區",IF(AND('班次明細'!L45&gt;0,'班次明細'!G45&lt;=B106,'班次明細'!H45&gt;=C106),1,0),0)+IF(LEFT('班次明細'!O52,2)="炸區",IF(AND('班次明細'!L52&gt;0,'班次明細'!G52&lt;=B106,'班次明細'!H52&gt;=C106),1,0),0)+IF(LEFT('班次明細'!O59,2)="炸區",IF(AND('班次明細'!L59&gt;0,'班次明細'!G59&lt;=B106,'班次明細'!H59&gt;=C106),1,0),0)+IF(LEFT('班次明細'!O66,2)="炸區",IF(AND('班次明細'!L66&gt;0,'班次明細'!G66&lt;=B106,'班次明細'!H66&gt;=C106),1,0),0)+IF(LEFT('班次明細'!O73,2)="炸區",IF(AND('班次明細'!L73&gt;0,'班次明細'!G73&lt;=B106,'班次明細'!H73&gt;=C106),1,0),0)+IF(LEFT('班次明細'!O80,2)="炸區",IF(AND('班次明細'!L80&gt;0,'班次明細'!G80&lt;=B106,'班次明細'!H80&gt;=C106),1,0),0)))</x:f>
        <x:v>0</x:v>
      </x:c>
      <x:c r="K106" s="11" t="str">
        <x:v>P01:外場；P03:吧台；P08:料區；P11:司爐</x:v>
      </x:c>
      <x:c r="L106" s="11" t="str">
        <x:f>IF(OR(H106&gt;0,I106&gt;0,J106&gt;0),"缺口／超額待處理","主崗齊；休息待現場")</x:f>
        <x:v>主崗齊；休息待現場</x:v>
      </x:c>
    </x:row>
    <x:row r="107" ht="42" customHeight="1">
      <x:c r="A107" s="12" t="n">
        <x:v>46318</x:v>
      </x:c>
      <x:c r="B107" s="13" t="n">
        <x:v>0.5208333333333334</x:v>
      </x:c>
      <x:c r="C107" s="13" t="n">
        <x:v>0.5416666666666666</x:v>
      </x:c>
      <x:c r="D107" s="2" t="str">
        <x:v>午餐主崗</x:v>
      </x:c>
      <x:c r="E107" s="2" t="n">
        <x:v>4</x:v>
      </x:c>
      <x:c r="F107" s="2" t="n">
        <x:v>4</x:v>
      </x:c>
      <x:c r="G107" s="2" t="n">
        <x:f>IF(AND('班次明細'!L10&gt;0,'班次明細'!G10&lt;=B107,'班次明細'!H10&gt;=C107),1,0)+IF(AND('班次明細'!L17&gt;0,'班次明細'!G17&lt;=B107,'班次明細'!H17&gt;=C107),1,0)+IF(AND('班次明細'!L24&gt;0,'班次明細'!G24&lt;=B107,'班次明細'!H24&gt;=C107),1,0)+IF(AND('班次明細'!L31&gt;0,'班次明細'!G31&lt;=B107,'班次明細'!H31&gt;=C107),1,0)+IF(AND('班次明細'!L38&gt;0,'班次明細'!G38&lt;=B107,'班次明細'!H38&gt;=C107),1,0)+IF(AND('班次明細'!L45&gt;0,'班次明細'!G45&lt;=B107,'班次明細'!H45&gt;=C107),1,0)+IF(AND('班次明細'!L52&gt;0,'班次明細'!G52&lt;=B107,'班次明細'!H52&gt;=C107),1,0)+IF(AND('班次明細'!L59&gt;0,'班次明細'!G59&lt;=B107,'班次明細'!H59&gt;=C107),1,0)+IF(AND('班次明細'!L66&gt;0,'班次明細'!G66&lt;=B107,'班次明細'!H66&gt;=C107),1,0)+IF(AND('班次明細'!L73&gt;0,'班次明細'!G73&lt;=B107,'班次明細'!H73&gt;=C107),1,0)+IF(AND('班次明細'!L80&gt;0,'班次明細'!G80&lt;=B107,'班次明細'!H80&gt;=C107),1,0)</x:f>
        <x:v>4</x:v>
      </x:c>
      <x:c r="H107" s="2" t="n">
        <x:f>MAX(0,E107-G107)</x:f>
        <x:v>0</x:v>
      </x:c>
      <x:c r="I107" s="2" t="n">
        <x:f>IF(F107="",0,MAX(0,G107-F107))</x:f>
        <x:v>0</x:v>
      </x:c>
      <x:c r="J107" s="2" t="n">
        <x:f>IF((IF(LEFT('班次明細'!O10,2)="外場",IF(AND('班次明細'!L10&gt;0,'班次明細'!G10&lt;=B107,'班次明細'!H10&gt;=C107),1,0),0)+IF(LEFT('班次明細'!O17,2)="外場",IF(AND('班次明細'!L17&gt;0,'班次明細'!G17&lt;=B107,'班次明細'!H17&gt;=C107),1,0),0)+IF(LEFT('班次明細'!O24,2)="外場",IF(AND('班次明細'!L24&gt;0,'班次明細'!G24&lt;=B107,'班次明細'!H24&gt;=C107),1,0),0)+IF(LEFT('班次明細'!O31,2)="外場",IF(AND('班次明細'!L31&gt;0,'班次明細'!G31&lt;=B107,'班次明細'!H31&gt;=C107),1,0),0)+IF(LEFT('班次明細'!O38,2)="外場",IF(AND('班次明細'!L38&gt;0,'班次明細'!G38&lt;=B107,'班次明細'!H38&gt;=C107),1,0),0)+IF(LEFT('班次明細'!O45,2)="外場",IF(AND('班次明細'!L45&gt;0,'班次明細'!G45&lt;=B107,'班次明細'!H45&gt;=C107),1,0),0)+IF(LEFT('班次明細'!O52,2)="外場",IF(AND('班次明細'!L52&gt;0,'班次明細'!G52&lt;=B107,'班次明細'!H52&gt;=C107),1,0),0)+IF(LEFT('班次明細'!O59,2)="外場",IF(AND('班次明細'!L59&gt;0,'班次明細'!G59&lt;=B107,'班次明細'!H59&gt;=C107),1,0),0)+IF(LEFT('班次明細'!O66,2)="外場",IF(AND('班次明細'!L66&gt;0,'班次明細'!G66&lt;=B107,'班次明細'!H66&gt;=C107),1,0),0)+IF(LEFT('班次明細'!O73,2)="外場",IF(AND('班次明細'!L73&gt;0,'班次明細'!G73&lt;=B107,'班次明細'!H73&gt;=C107),1,0),0)+IF(LEFT('班次明細'!O80,2)="外場",IF(AND('班次明細'!L80&gt;0,'班次明細'!G80&lt;=B107,'班次明細'!H80&gt;=C107),1,0),0))&gt;0,0,1)+IF((IF(LEFT('班次明細'!O10,2)="吧台",IF(AND('班次明細'!L10&gt;0,'班次明細'!G10&lt;=B107,'班次明細'!H10&gt;=C107),1,0),0)+IF(LEFT('班次明細'!O17,2)="吧台",IF(AND('班次明細'!L17&gt;0,'班次明細'!G17&lt;=B107,'班次明細'!H17&gt;=C107),1,0),0)+IF(LEFT('班次明細'!O24,2)="吧台",IF(AND('班次明細'!L24&gt;0,'班次明細'!G24&lt;=B107,'班次明細'!H24&gt;=C107),1,0),0)+IF(LEFT('班次明細'!O31,2)="吧台",IF(AND('班次明細'!L31&gt;0,'班次明細'!G31&lt;=B107,'班次明細'!H31&gt;=C107),1,0),0)+IF(LEFT('班次明細'!O38,2)="吧台",IF(AND('班次明細'!L38&gt;0,'班次明細'!G38&lt;=B107,'班次明細'!H38&gt;=C107),1,0),0)+IF(LEFT('班次明細'!O45,2)="吧台",IF(AND('班次明細'!L45&gt;0,'班次明細'!G45&lt;=B107,'班次明細'!H45&gt;=C107),1,0),0)+IF(LEFT('班次明細'!O52,2)="吧台",IF(AND('班次明細'!L52&gt;0,'班次明細'!G52&lt;=B107,'班次明細'!H52&gt;=C107),1,0),0)+IF(LEFT('班次明細'!O59,2)="吧台",IF(AND('班次明細'!L59&gt;0,'班次明細'!G59&lt;=B107,'班次明細'!H59&gt;=C107),1,0),0)+IF(LEFT('班次明細'!O66,2)="吧台",IF(AND('班次明細'!L66&gt;0,'班次明細'!G66&lt;=B107,'班次明細'!H66&gt;=C107),1,0),0)+IF(LEFT('班次明細'!O73,2)="吧台",IF(AND('班次明細'!L73&gt;0,'班次明細'!G73&lt;=B107,'班次明細'!H73&gt;=C107),1,0),0)+IF(LEFT('班次明細'!O80,2)="吧台",IF(AND('班次明細'!L80&gt;0,'班次明細'!G80&lt;=B107,'班次明細'!H80&gt;=C107),1,0),0))&gt;0,0,1)+MAX(0,2-(IF(LEFT('班次明細'!O10,2)="司爐",IF(AND('班次明細'!L10&gt;0,'班次明細'!G10&lt;=B107,'班次明細'!H10&gt;=C107),1,0),0)+IF(LEFT('班次明細'!O17,2)="司爐",IF(AND('班次明細'!L17&gt;0,'班次明細'!G17&lt;=B107,'班次明細'!H17&gt;=C107),1,0),0)+IF(LEFT('班次明細'!O24,2)="司爐",IF(AND('班次明細'!L24&gt;0,'班次明細'!G24&lt;=B107,'班次明細'!H24&gt;=C107),1,0),0)+IF(LEFT('班次明細'!O31,2)="司爐",IF(AND('班次明細'!L31&gt;0,'班次明細'!G31&lt;=B107,'班次明細'!H31&gt;=C107),1,0),0)+IF(LEFT('班次明細'!O38,2)="司爐",IF(AND('班次明細'!L38&gt;0,'班次明細'!G38&lt;=B107,'班次明細'!H38&gt;=C107),1,0),0)+IF(LEFT('班次明細'!O45,2)="司爐",IF(AND('班次明細'!L45&gt;0,'班次明細'!G45&lt;=B107,'班次明細'!H45&gt;=C107),1,0),0)+IF(LEFT('班次明細'!O52,2)="司爐",IF(AND('班次明細'!L52&gt;0,'班次明細'!G52&lt;=B107,'班次明細'!H52&gt;=C107),1,0),0)+IF(LEFT('班次明細'!O59,2)="司爐",IF(AND('班次明細'!L59&gt;0,'班次明細'!G59&lt;=B107,'班次明細'!H59&gt;=C107),1,0),0)+IF(LEFT('班次明細'!O66,2)="司爐",IF(AND('班次明細'!L66&gt;0,'班次明細'!G66&lt;=B107,'班次明細'!H66&gt;=C107),1,0),0)+IF(LEFT('班次明細'!O73,2)="司爐",IF(AND('班次明細'!L73&gt;0,'班次明細'!G73&lt;=B107,'班次明細'!H73&gt;=C107),1,0),0)+IF(LEFT('班次明細'!O80,2)="司爐",IF(AND('班次明細'!L80&gt;0,'班次明細'!G80&lt;=B107,'班次明細'!H80&gt;=C107),1,0),0)+IF(LEFT('班次明細'!O10,2)="料區",IF(AND('班次明細'!L10&gt;0,'班次明細'!G10&lt;=B107,'班次明細'!H10&gt;=C107),1,0),0)+IF(LEFT('班次明細'!O17,2)="料區",IF(AND('班次明細'!L17&gt;0,'班次明細'!G17&lt;=B107,'班次明細'!H17&gt;=C107),1,0),0)+IF(LEFT('班次明細'!O24,2)="料區",IF(AND('班次明細'!L24&gt;0,'班次明細'!G24&lt;=B107,'班次明細'!H24&gt;=C107),1,0),0)+IF(LEFT('班次明細'!O31,2)="料區",IF(AND('班次明細'!L31&gt;0,'班次明細'!G31&lt;=B107,'班次明細'!H31&gt;=C107),1,0),0)+IF(LEFT('班次明細'!O38,2)="料區",IF(AND('班次明細'!L38&gt;0,'班次明細'!G38&lt;=B107,'班次明細'!H38&gt;=C107),1,0),0)+IF(LEFT('班次明細'!O45,2)="料區",IF(AND('班次明細'!L45&gt;0,'班次明細'!G45&lt;=B107,'班次明細'!H45&gt;=C107),1,0),0)+IF(LEFT('班次明細'!O52,2)="料區",IF(AND('班次明細'!L52&gt;0,'班次明細'!G52&lt;=B107,'班次明細'!H52&gt;=C107),1,0),0)+IF(LEFT('班次明細'!O59,2)="料區",IF(AND('班次明細'!L59&gt;0,'班次明細'!G59&lt;=B107,'班次明細'!H59&gt;=C107),1,0),0)+IF(LEFT('班次明細'!O66,2)="料區",IF(AND('班次明細'!L66&gt;0,'班次明細'!G66&lt;=B107,'班次明細'!H66&gt;=C107),1,0),0)+IF(LEFT('班次明細'!O73,2)="料區",IF(AND('班次明細'!L73&gt;0,'班次明細'!G73&lt;=B107,'班次明細'!H73&gt;=C107),1,0),0)+IF(LEFT('班次明細'!O80,2)="料區",IF(AND('班次明細'!L80&gt;0,'班次明細'!G80&lt;=B107,'班次明細'!H80&gt;=C107),1,0),0)+IF(LEFT('班次明細'!O10,2)="炸區",IF(AND('班次明細'!L10&gt;0,'班次明細'!G10&lt;=B107,'班次明細'!H10&gt;=C107),1,0),0)+IF(LEFT('班次明細'!O17,2)="炸區",IF(AND('班次明細'!L17&gt;0,'班次明細'!G17&lt;=B107,'班次明細'!H17&gt;=C107),1,0),0)+IF(LEFT('班次明細'!O24,2)="炸區",IF(AND('班次明細'!L24&gt;0,'班次明細'!G24&lt;=B107,'班次明細'!H24&gt;=C107),1,0),0)+IF(LEFT('班次明細'!O31,2)="炸區",IF(AND('班次明細'!L31&gt;0,'班次明細'!G31&lt;=B107,'班次明細'!H31&gt;=C107),1,0),0)+IF(LEFT('班次明細'!O38,2)="炸區",IF(AND('班次明細'!L38&gt;0,'班次明細'!G38&lt;=B107,'班次明細'!H38&gt;=C107),1,0),0)+IF(LEFT('班次明細'!O45,2)="炸區",IF(AND('班次明細'!L45&gt;0,'班次明細'!G45&lt;=B107,'班次明細'!H45&gt;=C107),1,0),0)+IF(LEFT('班次明細'!O52,2)="炸區",IF(AND('班次明細'!L52&gt;0,'班次明細'!G52&lt;=B107,'班次明細'!H52&gt;=C107),1,0),0)+IF(LEFT('班次明細'!O59,2)="炸區",IF(AND('班次明細'!L59&gt;0,'班次明細'!G59&lt;=B107,'班次明細'!H59&gt;=C107),1,0),0)+IF(LEFT('班次明細'!O66,2)="炸區",IF(AND('班次明細'!L66&gt;0,'班次明細'!G66&lt;=B107,'班次明細'!H66&gt;=C107),1,0),0)+IF(LEFT('班次明細'!O73,2)="炸區",IF(AND('班次明細'!L73&gt;0,'班次明細'!G73&lt;=B107,'班次明細'!H73&gt;=C107),1,0),0)+IF(LEFT('班次明細'!O80,2)="炸區",IF(AND('班次明細'!L80&gt;0,'班次明細'!G80&lt;=B107,'班次明細'!H80&gt;=C107),1,0),0)))</x:f>
        <x:v>0</x:v>
      </x:c>
      <x:c r="K107" s="11" t="str">
        <x:v>P01:外場；P03:吧台；P08:料區；P11:司爐</x:v>
      </x:c>
      <x:c r="L107" s="11" t="str">
        <x:f>IF(OR(H107&gt;0,I107&gt;0,J107&gt;0),"缺口／超額待處理","主崗齊；休息待現場")</x:f>
        <x:v>主崗齊；休息待現場</x:v>
      </x:c>
    </x:row>
    <x:row r="108" ht="42" customHeight="1">
      <x:c r="A108" s="12" t="n">
        <x:v>46318</x:v>
      </x:c>
      <x:c r="B108" s="13" t="n">
        <x:v>0.5416666666666666</x:v>
      </x:c>
      <x:c r="C108" s="13" t="n">
        <x:v>0.5625</x:v>
      </x:c>
      <x:c r="D108" s="2" t="str">
        <x:v>午餐主崗</x:v>
      </x:c>
      <x:c r="E108" s="2" t="n">
        <x:v>4</x:v>
      </x:c>
      <x:c r="F108" s="2" t="n">
        <x:v>4</x:v>
      </x:c>
      <x:c r="G108" s="2" t="n">
        <x:f>IF(AND('班次明細'!L10&gt;0,'班次明細'!G10&lt;=B108,'班次明細'!H10&gt;=C108),1,0)+IF(AND('班次明細'!L17&gt;0,'班次明細'!G17&lt;=B108,'班次明細'!H17&gt;=C108),1,0)+IF(AND('班次明細'!L24&gt;0,'班次明細'!G24&lt;=B108,'班次明細'!H24&gt;=C108),1,0)+IF(AND('班次明細'!L31&gt;0,'班次明細'!G31&lt;=B108,'班次明細'!H31&gt;=C108),1,0)+IF(AND('班次明細'!L38&gt;0,'班次明細'!G38&lt;=B108,'班次明細'!H38&gt;=C108),1,0)+IF(AND('班次明細'!L45&gt;0,'班次明細'!G45&lt;=B108,'班次明細'!H45&gt;=C108),1,0)+IF(AND('班次明細'!L52&gt;0,'班次明細'!G52&lt;=B108,'班次明細'!H52&gt;=C108),1,0)+IF(AND('班次明細'!L59&gt;0,'班次明細'!G59&lt;=B108,'班次明細'!H59&gt;=C108),1,0)+IF(AND('班次明細'!L66&gt;0,'班次明細'!G66&lt;=B108,'班次明細'!H66&gt;=C108),1,0)+IF(AND('班次明細'!L73&gt;0,'班次明細'!G73&lt;=B108,'班次明細'!H73&gt;=C108),1,0)+IF(AND('班次明細'!L80&gt;0,'班次明細'!G80&lt;=B108,'班次明細'!H80&gt;=C108),1,0)</x:f>
        <x:v>4</x:v>
      </x:c>
      <x:c r="H108" s="2" t="n">
        <x:f>MAX(0,E108-G108)</x:f>
        <x:v>0</x:v>
      </x:c>
      <x:c r="I108" s="2" t="n">
        <x:f>IF(F108="",0,MAX(0,G108-F108))</x:f>
        <x:v>0</x:v>
      </x:c>
      <x:c r="J108" s="2" t="n">
        <x:f>IF((IF(LEFT('班次明細'!O10,2)="外場",IF(AND('班次明細'!L10&gt;0,'班次明細'!G10&lt;=B108,'班次明細'!H10&gt;=C108),1,0),0)+IF(LEFT('班次明細'!O17,2)="外場",IF(AND('班次明細'!L17&gt;0,'班次明細'!G17&lt;=B108,'班次明細'!H17&gt;=C108),1,0),0)+IF(LEFT('班次明細'!O24,2)="外場",IF(AND('班次明細'!L24&gt;0,'班次明細'!G24&lt;=B108,'班次明細'!H24&gt;=C108),1,0),0)+IF(LEFT('班次明細'!O31,2)="外場",IF(AND('班次明細'!L31&gt;0,'班次明細'!G31&lt;=B108,'班次明細'!H31&gt;=C108),1,0),0)+IF(LEFT('班次明細'!O38,2)="外場",IF(AND('班次明細'!L38&gt;0,'班次明細'!G38&lt;=B108,'班次明細'!H38&gt;=C108),1,0),0)+IF(LEFT('班次明細'!O45,2)="外場",IF(AND('班次明細'!L45&gt;0,'班次明細'!G45&lt;=B108,'班次明細'!H45&gt;=C108),1,0),0)+IF(LEFT('班次明細'!O52,2)="外場",IF(AND('班次明細'!L52&gt;0,'班次明細'!G52&lt;=B108,'班次明細'!H52&gt;=C108),1,0),0)+IF(LEFT('班次明細'!O59,2)="外場",IF(AND('班次明細'!L59&gt;0,'班次明細'!G59&lt;=B108,'班次明細'!H59&gt;=C108),1,0),0)+IF(LEFT('班次明細'!O66,2)="外場",IF(AND('班次明細'!L66&gt;0,'班次明細'!G66&lt;=B108,'班次明細'!H66&gt;=C108),1,0),0)+IF(LEFT('班次明細'!O73,2)="外場",IF(AND('班次明細'!L73&gt;0,'班次明細'!G73&lt;=B108,'班次明細'!H73&gt;=C108),1,0),0)+IF(LEFT('班次明細'!O80,2)="外場",IF(AND('班次明細'!L80&gt;0,'班次明細'!G80&lt;=B108,'班次明細'!H80&gt;=C108),1,0),0))&gt;0,0,1)+IF((IF(LEFT('班次明細'!O10,2)="吧台",IF(AND('班次明細'!L10&gt;0,'班次明細'!G10&lt;=B108,'班次明細'!H10&gt;=C108),1,0),0)+IF(LEFT('班次明細'!O17,2)="吧台",IF(AND('班次明細'!L17&gt;0,'班次明細'!G17&lt;=B108,'班次明細'!H17&gt;=C108),1,0),0)+IF(LEFT('班次明細'!O24,2)="吧台",IF(AND('班次明細'!L24&gt;0,'班次明細'!G24&lt;=B108,'班次明細'!H24&gt;=C108),1,0),0)+IF(LEFT('班次明細'!O31,2)="吧台",IF(AND('班次明細'!L31&gt;0,'班次明細'!G31&lt;=B108,'班次明細'!H31&gt;=C108),1,0),0)+IF(LEFT('班次明細'!O38,2)="吧台",IF(AND('班次明細'!L38&gt;0,'班次明細'!G38&lt;=B108,'班次明細'!H38&gt;=C108),1,0),0)+IF(LEFT('班次明細'!O45,2)="吧台",IF(AND('班次明細'!L45&gt;0,'班次明細'!G45&lt;=B108,'班次明細'!H45&gt;=C108),1,0),0)+IF(LEFT('班次明細'!O52,2)="吧台",IF(AND('班次明細'!L52&gt;0,'班次明細'!G52&lt;=B108,'班次明細'!H52&gt;=C108),1,0),0)+IF(LEFT('班次明細'!O59,2)="吧台",IF(AND('班次明細'!L59&gt;0,'班次明細'!G59&lt;=B108,'班次明細'!H59&gt;=C108),1,0),0)+IF(LEFT('班次明細'!O66,2)="吧台",IF(AND('班次明細'!L66&gt;0,'班次明細'!G66&lt;=B108,'班次明細'!H66&gt;=C108),1,0),0)+IF(LEFT('班次明細'!O73,2)="吧台",IF(AND('班次明細'!L73&gt;0,'班次明細'!G73&lt;=B108,'班次明細'!H73&gt;=C108),1,0),0)+IF(LEFT('班次明細'!O80,2)="吧台",IF(AND('班次明細'!L80&gt;0,'班次明細'!G80&lt;=B108,'班次明細'!H80&gt;=C108),1,0),0))&gt;0,0,1)+MAX(0,2-(IF(LEFT('班次明細'!O10,2)="司爐",IF(AND('班次明細'!L10&gt;0,'班次明細'!G10&lt;=B108,'班次明細'!H10&gt;=C108),1,0),0)+IF(LEFT('班次明細'!O17,2)="司爐",IF(AND('班次明細'!L17&gt;0,'班次明細'!G17&lt;=B108,'班次明細'!H17&gt;=C108),1,0),0)+IF(LEFT('班次明細'!O24,2)="司爐",IF(AND('班次明細'!L24&gt;0,'班次明細'!G24&lt;=B108,'班次明細'!H24&gt;=C108),1,0),0)+IF(LEFT('班次明細'!O31,2)="司爐",IF(AND('班次明細'!L31&gt;0,'班次明細'!G31&lt;=B108,'班次明細'!H31&gt;=C108),1,0),0)+IF(LEFT('班次明細'!O38,2)="司爐",IF(AND('班次明細'!L38&gt;0,'班次明細'!G38&lt;=B108,'班次明細'!H38&gt;=C108),1,0),0)+IF(LEFT('班次明細'!O45,2)="司爐",IF(AND('班次明細'!L45&gt;0,'班次明細'!G45&lt;=B108,'班次明細'!H45&gt;=C108),1,0),0)+IF(LEFT('班次明細'!O52,2)="司爐",IF(AND('班次明細'!L52&gt;0,'班次明細'!G52&lt;=B108,'班次明細'!H52&gt;=C108),1,0),0)+IF(LEFT('班次明細'!O59,2)="司爐",IF(AND('班次明細'!L59&gt;0,'班次明細'!G59&lt;=B108,'班次明細'!H59&gt;=C108),1,0),0)+IF(LEFT('班次明細'!O66,2)="司爐",IF(AND('班次明細'!L66&gt;0,'班次明細'!G66&lt;=B108,'班次明細'!H66&gt;=C108),1,0),0)+IF(LEFT('班次明細'!O73,2)="司爐",IF(AND('班次明細'!L73&gt;0,'班次明細'!G73&lt;=B108,'班次明細'!H73&gt;=C108),1,0),0)+IF(LEFT('班次明細'!O80,2)="司爐",IF(AND('班次明細'!L80&gt;0,'班次明細'!G80&lt;=B108,'班次明細'!H80&gt;=C108),1,0),0)+IF(LEFT('班次明細'!O10,2)="料區",IF(AND('班次明細'!L10&gt;0,'班次明細'!G10&lt;=B108,'班次明細'!H10&gt;=C108),1,0),0)+IF(LEFT('班次明細'!O17,2)="料區",IF(AND('班次明細'!L17&gt;0,'班次明細'!G17&lt;=B108,'班次明細'!H17&gt;=C108),1,0),0)+IF(LEFT('班次明細'!O24,2)="料區",IF(AND('班次明細'!L24&gt;0,'班次明細'!G24&lt;=B108,'班次明細'!H24&gt;=C108),1,0),0)+IF(LEFT('班次明細'!O31,2)="料區",IF(AND('班次明細'!L31&gt;0,'班次明細'!G31&lt;=B108,'班次明細'!H31&gt;=C108),1,0),0)+IF(LEFT('班次明細'!O38,2)="料區",IF(AND('班次明細'!L38&gt;0,'班次明細'!G38&lt;=B108,'班次明細'!H38&gt;=C108),1,0),0)+IF(LEFT('班次明細'!O45,2)="料區",IF(AND('班次明細'!L45&gt;0,'班次明細'!G45&lt;=B108,'班次明細'!H45&gt;=C108),1,0),0)+IF(LEFT('班次明細'!O52,2)="料區",IF(AND('班次明細'!L52&gt;0,'班次明細'!G52&lt;=B108,'班次明細'!H52&gt;=C108),1,0),0)+IF(LEFT('班次明細'!O59,2)="料區",IF(AND('班次明細'!L59&gt;0,'班次明細'!G59&lt;=B108,'班次明細'!H59&gt;=C108),1,0),0)+IF(LEFT('班次明細'!O66,2)="料區",IF(AND('班次明細'!L66&gt;0,'班次明細'!G66&lt;=B108,'班次明細'!H66&gt;=C108),1,0),0)+IF(LEFT('班次明細'!O73,2)="料區",IF(AND('班次明細'!L73&gt;0,'班次明細'!G73&lt;=B108,'班次明細'!H73&gt;=C108),1,0),0)+IF(LEFT('班次明細'!O80,2)="料區",IF(AND('班次明細'!L80&gt;0,'班次明細'!G80&lt;=B108,'班次明細'!H80&gt;=C108),1,0),0)+IF(LEFT('班次明細'!O10,2)="炸區",IF(AND('班次明細'!L10&gt;0,'班次明細'!G10&lt;=B108,'班次明細'!H10&gt;=C108),1,0),0)+IF(LEFT('班次明細'!O17,2)="炸區",IF(AND('班次明細'!L17&gt;0,'班次明細'!G17&lt;=B108,'班次明細'!H17&gt;=C108),1,0),0)+IF(LEFT('班次明細'!O24,2)="炸區",IF(AND('班次明細'!L24&gt;0,'班次明細'!G24&lt;=B108,'班次明細'!H24&gt;=C108),1,0),0)+IF(LEFT('班次明細'!O31,2)="炸區",IF(AND('班次明細'!L31&gt;0,'班次明細'!G31&lt;=B108,'班次明細'!H31&gt;=C108),1,0),0)+IF(LEFT('班次明細'!O38,2)="炸區",IF(AND('班次明細'!L38&gt;0,'班次明細'!G38&lt;=B108,'班次明細'!H38&gt;=C108),1,0),0)+IF(LEFT('班次明細'!O45,2)="炸區",IF(AND('班次明細'!L45&gt;0,'班次明細'!G45&lt;=B108,'班次明細'!H45&gt;=C108),1,0),0)+IF(LEFT('班次明細'!O52,2)="炸區",IF(AND('班次明細'!L52&gt;0,'班次明細'!G52&lt;=B108,'班次明細'!H52&gt;=C108),1,0),0)+IF(LEFT('班次明細'!O59,2)="炸區",IF(AND('班次明細'!L59&gt;0,'班次明細'!G59&lt;=B108,'班次明細'!H59&gt;=C108),1,0),0)+IF(LEFT('班次明細'!O66,2)="炸區",IF(AND('班次明細'!L66&gt;0,'班次明細'!G66&lt;=B108,'班次明細'!H66&gt;=C108),1,0),0)+IF(LEFT('班次明細'!O73,2)="炸區",IF(AND('班次明細'!L73&gt;0,'班次明細'!G73&lt;=B108,'班次明細'!H73&gt;=C108),1,0),0)+IF(LEFT('班次明細'!O80,2)="炸區",IF(AND('班次明細'!L80&gt;0,'班次明細'!G80&lt;=B108,'班次明細'!H80&gt;=C108),1,0),0)))</x:f>
        <x:v>0</x:v>
      </x:c>
      <x:c r="K108" s="11" t="str">
        <x:v>P01:外場；P03:吧台；P08:料區；P11:司爐</x:v>
      </x:c>
      <x:c r="L108" s="11" t="str">
        <x:f>IF(OR(H108&gt;0,I108&gt;0,J108&gt;0),"缺口／超額待處理","主崗齊；休息待現場")</x:f>
        <x:v>主崗齊；休息待現場</x:v>
      </x:c>
    </x:row>
    <x:row r="109" ht="42" customHeight="1">
      <x:c r="A109" s="12" t="n">
        <x:v>46318</x:v>
      </x:c>
      <x:c r="B109" s="13" t="n">
        <x:v>0.5625</x:v>
      </x:c>
      <x:c r="C109" s="13" t="n">
        <x:v>0.5833333333333334</x:v>
      </x:c>
      <x:c r="D109" s="2" t="str">
        <x:v>營運參考</x:v>
      </x:c>
      <x:c r="E109" s="2" t="n">
        <x:v>0</x:v>
      </x:c>
      <x:c r="F109" s="2"/>
      <x:c r="G109" s="2" t="n">
        <x:f>IF(AND('班次明細'!L10&gt;0,'班次明細'!G10&lt;=B109,'班次明細'!H10&gt;=C109),1,0)+IF(AND('班次明細'!L17&gt;0,'班次明細'!G17&lt;=B109,'班次明細'!H17&gt;=C109),1,0)+IF(AND('班次明細'!L24&gt;0,'班次明細'!G24&lt;=B109,'班次明細'!H24&gt;=C109),1,0)+IF(AND('班次明細'!L31&gt;0,'班次明細'!G31&lt;=B109,'班次明細'!H31&gt;=C109),1,0)+IF(AND('班次明細'!L38&gt;0,'班次明細'!G38&lt;=B109,'班次明細'!H38&gt;=C109),1,0)+IF(AND('班次明細'!L45&gt;0,'班次明細'!G45&lt;=B109,'班次明細'!H45&gt;=C109),1,0)+IF(AND('班次明細'!L52&gt;0,'班次明細'!G52&lt;=B109,'班次明細'!H52&gt;=C109),1,0)+IF(AND('班次明細'!L59&gt;0,'班次明細'!G59&lt;=B109,'班次明細'!H59&gt;=C109),1,0)+IF(AND('班次明細'!L66&gt;0,'班次明細'!G66&lt;=B109,'班次明細'!H66&gt;=C109),1,0)+IF(AND('班次明細'!L73&gt;0,'班次明細'!G73&lt;=B109,'班次明細'!H73&gt;=C109),1,0)+IF(AND('班次明細'!L80&gt;0,'班次明細'!G80&lt;=B109,'班次明細'!H80&gt;=C109),1,0)</x:f>
        <x:v>4</x:v>
      </x:c>
      <x:c r="H109" s="2" t="n">
        <x:f>MAX(0,E109-G109)</x:f>
        <x:v>0</x:v>
      </x:c>
      <x:c r="I109" s="2" t="n">
        <x:f>IF(F109="",0,MAX(0,G109-F109))</x:f>
        <x:v>0</x:v>
      </x:c>
      <x:c r="J109" s="2" t="n">
        <x:v>0</x:v>
      </x:c>
      <x:c r="K109" s="11" t="str">
        <x:v>—</x:v>
      </x:c>
      <x:c r="L109" s="11" t="str">
        <x:f>"營運參考"</x:f>
        <x:v>營運參考</x:v>
      </x:c>
    </x:row>
    <x:row r="110" ht="42" customHeight="1">
      <x:c r="A110" s="12" t="n">
        <x:v>46318</x:v>
      </x:c>
      <x:c r="B110" s="13" t="n">
        <x:v>0.5833333333333334</x:v>
      </x:c>
      <x:c r="C110" s="13" t="n">
        <x:v>0.6041666666666666</x:v>
      </x:c>
      <x:c r="D110" s="2" t="str">
        <x:v>營運參考</x:v>
      </x:c>
      <x:c r="E110" s="2" t="n">
        <x:v>0</x:v>
      </x:c>
      <x:c r="F110" s="2"/>
      <x:c r="G110" s="2" t="n">
        <x:f>IF(AND('班次明細'!L10&gt;0,'班次明細'!G10&lt;=B110,'班次明細'!H10&gt;=C110),1,0)+IF(AND('班次明細'!L17&gt;0,'班次明細'!G17&lt;=B110,'班次明細'!H17&gt;=C110),1,0)+IF(AND('班次明細'!L24&gt;0,'班次明細'!G24&lt;=B110,'班次明細'!H24&gt;=C110),1,0)+IF(AND('班次明細'!L31&gt;0,'班次明細'!G31&lt;=B110,'班次明細'!H31&gt;=C110),1,0)+IF(AND('班次明細'!L38&gt;0,'班次明細'!G38&lt;=B110,'班次明細'!H38&gt;=C110),1,0)+IF(AND('班次明細'!L45&gt;0,'班次明細'!G45&lt;=B110,'班次明細'!H45&gt;=C110),1,0)+IF(AND('班次明細'!L52&gt;0,'班次明細'!G52&lt;=B110,'班次明細'!H52&gt;=C110),1,0)+IF(AND('班次明細'!L59&gt;0,'班次明細'!G59&lt;=B110,'班次明細'!H59&gt;=C110),1,0)+IF(AND('班次明細'!L66&gt;0,'班次明細'!G66&lt;=B110,'班次明細'!H66&gt;=C110),1,0)+IF(AND('班次明細'!L73&gt;0,'班次明細'!G73&lt;=B110,'班次明細'!H73&gt;=C110),1,0)+IF(AND('班次明細'!L80&gt;0,'班次明細'!G80&lt;=B110,'班次明細'!H80&gt;=C110),1,0)</x:f>
        <x:v>4</x:v>
      </x:c>
      <x:c r="H110" s="2" t="n">
        <x:f>MAX(0,E110-G110)</x:f>
        <x:v>0</x:v>
      </x:c>
      <x:c r="I110" s="2" t="n">
        <x:f>IF(F110="",0,MAX(0,G110-F110))</x:f>
        <x:v>0</x:v>
      </x:c>
      <x:c r="J110" s="2" t="n">
        <x:v>0</x:v>
      </x:c>
      <x:c r="K110" s="11" t="str">
        <x:v>—</x:v>
      </x:c>
      <x:c r="L110" s="11" t="str">
        <x:f>"營運參考"</x:f>
        <x:v>營運參考</x:v>
      </x:c>
    </x:row>
    <x:row r="111" ht="42" customHeight="1">
      <x:c r="A111" s="12" t="n">
        <x:v>46318</x:v>
      </x:c>
      <x:c r="B111" s="13" t="n">
        <x:v>0.6041666666666666</x:v>
      </x:c>
      <x:c r="C111" s="13" t="n">
        <x:v>0.625</x:v>
      </x:c>
      <x:c r="D111" s="2" t="str">
        <x:v>營運參考</x:v>
      </x:c>
      <x:c r="E111" s="2" t="n">
        <x:v>0</x:v>
      </x:c>
      <x:c r="F111" s="2"/>
      <x:c r="G111" s="2" t="n">
        <x:f>IF(AND('班次明細'!L10&gt;0,'班次明細'!G10&lt;=B111,'班次明細'!H10&gt;=C111),1,0)+IF(AND('班次明細'!L17&gt;0,'班次明細'!G17&lt;=B111,'班次明細'!H17&gt;=C111),1,0)+IF(AND('班次明細'!L24&gt;0,'班次明細'!G24&lt;=B111,'班次明細'!H24&gt;=C111),1,0)+IF(AND('班次明細'!L31&gt;0,'班次明細'!G31&lt;=B111,'班次明細'!H31&gt;=C111),1,0)+IF(AND('班次明細'!L38&gt;0,'班次明細'!G38&lt;=B111,'班次明細'!H38&gt;=C111),1,0)+IF(AND('班次明細'!L45&gt;0,'班次明細'!G45&lt;=B111,'班次明細'!H45&gt;=C111),1,0)+IF(AND('班次明細'!L52&gt;0,'班次明細'!G52&lt;=B111,'班次明細'!H52&gt;=C111),1,0)+IF(AND('班次明細'!L59&gt;0,'班次明細'!G59&lt;=B111,'班次明細'!H59&gt;=C111),1,0)+IF(AND('班次明細'!L66&gt;0,'班次明細'!G66&lt;=B111,'班次明細'!H66&gt;=C111),1,0)+IF(AND('班次明細'!L73&gt;0,'班次明細'!G73&lt;=B111,'班次明細'!H73&gt;=C111),1,0)+IF(AND('班次明細'!L80&gt;0,'班次明細'!G80&lt;=B111,'班次明細'!H80&gt;=C111),1,0)</x:f>
        <x:v>4</x:v>
      </x:c>
      <x:c r="H111" s="2" t="n">
        <x:f>MAX(0,E111-G111)</x:f>
        <x:v>0</x:v>
      </x:c>
      <x:c r="I111" s="2" t="n">
        <x:f>IF(F111="",0,MAX(0,G111-F111))</x:f>
        <x:v>0</x:v>
      </x:c>
      <x:c r="J111" s="2" t="n">
        <x:v>0</x:v>
      </x:c>
      <x:c r="K111" s="11" t="str">
        <x:v>—</x:v>
      </x:c>
      <x:c r="L111" s="11" t="str">
        <x:f>"營運參考"</x:f>
        <x:v>營運參考</x:v>
      </x:c>
    </x:row>
    <x:row r="112" ht="42" customHeight="1">
      <x:c r="A112" s="12" t="n">
        <x:v>46318</x:v>
      </x:c>
      <x:c r="B112" s="13" t="n">
        <x:v>0.625</x:v>
      </x:c>
      <x:c r="C112" s="13" t="n">
        <x:v>0.6458333333333334</x:v>
      </x:c>
      <x:c r="D112" s="2" t="str">
        <x:v>營運參考</x:v>
      </x:c>
      <x:c r="E112" s="2" t="n">
        <x:v>0</x:v>
      </x:c>
      <x:c r="F112" s="2"/>
      <x:c r="G112" s="2" t="n">
        <x:f>IF(AND('班次明細'!L10&gt;0,'班次明細'!G10&lt;=B112,'班次明細'!H10&gt;=C112),1,0)+IF(AND('班次明細'!L17&gt;0,'班次明細'!G17&lt;=B112,'班次明細'!H17&gt;=C112),1,0)+IF(AND('班次明細'!L24&gt;0,'班次明細'!G24&lt;=B112,'班次明細'!H24&gt;=C112),1,0)+IF(AND('班次明細'!L31&gt;0,'班次明細'!G31&lt;=B112,'班次明細'!H31&gt;=C112),1,0)+IF(AND('班次明細'!L38&gt;0,'班次明細'!G38&lt;=B112,'班次明細'!H38&gt;=C112),1,0)+IF(AND('班次明細'!L45&gt;0,'班次明細'!G45&lt;=B112,'班次明細'!H45&gt;=C112),1,0)+IF(AND('班次明細'!L52&gt;0,'班次明細'!G52&lt;=B112,'班次明細'!H52&gt;=C112),1,0)+IF(AND('班次明細'!L59&gt;0,'班次明細'!G59&lt;=B112,'班次明細'!H59&gt;=C112),1,0)+IF(AND('班次明細'!L66&gt;0,'班次明細'!G66&lt;=B112,'班次明細'!H66&gt;=C112),1,0)+IF(AND('班次明細'!L73&gt;0,'班次明細'!G73&lt;=B112,'班次明細'!H73&gt;=C112),1,0)+IF(AND('班次明細'!L80&gt;0,'班次明細'!G80&lt;=B112,'班次明細'!H80&gt;=C112),1,0)</x:f>
        <x:v>4</x:v>
      </x:c>
      <x:c r="H112" s="2" t="n">
        <x:f>MAX(0,E112-G112)</x:f>
        <x:v>0</x:v>
      </x:c>
      <x:c r="I112" s="2" t="n">
        <x:f>IF(F112="",0,MAX(0,G112-F112))</x:f>
        <x:v>0</x:v>
      </x:c>
      <x:c r="J112" s="2" t="n">
        <x:v>0</x:v>
      </x:c>
      <x:c r="K112" s="11" t="str">
        <x:v>—</x:v>
      </x:c>
      <x:c r="L112" s="11" t="str">
        <x:f>"營運參考"</x:f>
        <x:v>營運參考</x:v>
      </x:c>
    </x:row>
    <x:row r="113" ht="42" customHeight="1">
      <x:c r="A113" s="12" t="n">
        <x:v>46318</x:v>
      </x:c>
      <x:c r="B113" s="13" t="n">
        <x:v>0.6458333333333334</x:v>
      </x:c>
      <x:c r="C113" s="13" t="n">
        <x:v>0.6666666666666666</x:v>
      </x:c>
      <x:c r="D113" s="2" t="str">
        <x:v>營運參考</x:v>
      </x:c>
      <x:c r="E113" s="2" t="n">
        <x:v>0</x:v>
      </x:c>
      <x:c r="F113" s="2"/>
      <x:c r="G113" s="2" t="n">
        <x:f>IF(AND('班次明細'!L10&gt;0,'班次明細'!G10&lt;=B113,'班次明細'!H10&gt;=C113),1,0)+IF(AND('班次明細'!L17&gt;0,'班次明細'!G17&lt;=B113,'班次明細'!H17&gt;=C113),1,0)+IF(AND('班次明細'!L24&gt;0,'班次明細'!G24&lt;=B113,'班次明細'!H24&gt;=C113),1,0)+IF(AND('班次明細'!L31&gt;0,'班次明細'!G31&lt;=B113,'班次明細'!H31&gt;=C113),1,0)+IF(AND('班次明細'!L38&gt;0,'班次明細'!G38&lt;=B113,'班次明細'!H38&gt;=C113),1,0)+IF(AND('班次明細'!L45&gt;0,'班次明細'!G45&lt;=B113,'班次明細'!H45&gt;=C113),1,0)+IF(AND('班次明細'!L52&gt;0,'班次明細'!G52&lt;=B113,'班次明細'!H52&gt;=C113),1,0)+IF(AND('班次明細'!L59&gt;0,'班次明細'!G59&lt;=B113,'班次明細'!H59&gt;=C113),1,0)+IF(AND('班次明細'!L66&gt;0,'班次明細'!G66&lt;=B113,'班次明細'!H66&gt;=C113),1,0)+IF(AND('班次明細'!L73&gt;0,'班次明細'!G73&lt;=B113,'班次明細'!H73&gt;=C113),1,0)+IF(AND('班次明細'!L80&gt;0,'班次明細'!G80&lt;=B113,'班次明細'!H80&gt;=C113),1,0)</x:f>
        <x:v>3</x:v>
      </x:c>
      <x:c r="H113" s="2" t="n">
        <x:f>MAX(0,E113-G113)</x:f>
        <x:v>0</x:v>
      </x:c>
      <x:c r="I113" s="2" t="n">
        <x:f>IF(F113="",0,MAX(0,G113-F113))</x:f>
        <x:v>0</x:v>
      </x:c>
      <x:c r="J113" s="2" t="n">
        <x:v>0</x:v>
      </x:c>
      <x:c r="K113" s="11" t="str">
        <x:v>—</x:v>
      </x:c>
      <x:c r="L113" s="11" t="str">
        <x:f>"營運參考"</x:f>
        <x:v>營運參考</x:v>
      </x:c>
    </x:row>
    <x:row r="114" ht="42" customHeight="1">
      <x:c r="A114" s="12" t="n">
        <x:v>46318</x:v>
      </x:c>
      <x:c r="B114" s="13" t="n">
        <x:v>0.6666666666666666</x:v>
      </x:c>
      <x:c r="C114" s="13" t="n">
        <x:v>0.6875</x:v>
      </x:c>
      <x:c r="D114" s="2" t="str">
        <x:v>營運參考</x:v>
      </x:c>
      <x:c r="E114" s="2" t="n">
        <x:v>0</x:v>
      </x:c>
      <x:c r="F114" s="2"/>
      <x:c r="G114" s="2" t="n">
        <x:f>IF(AND('班次明細'!L10&gt;0,'班次明細'!G10&lt;=B114,'班次明細'!H10&gt;=C114),1,0)+IF(AND('班次明細'!L17&gt;0,'班次明細'!G17&lt;=B114,'班次明細'!H17&gt;=C114),1,0)+IF(AND('班次明細'!L24&gt;0,'班次明細'!G24&lt;=B114,'班次明細'!H24&gt;=C114),1,0)+IF(AND('班次明細'!L31&gt;0,'班次明細'!G31&lt;=B114,'班次明細'!H31&gt;=C114),1,0)+IF(AND('班次明細'!L38&gt;0,'班次明細'!G38&lt;=B114,'班次明細'!H38&gt;=C114),1,0)+IF(AND('班次明細'!L45&gt;0,'班次明細'!G45&lt;=B114,'班次明細'!H45&gt;=C114),1,0)+IF(AND('班次明細'!L52&gt;0,'班次明細'!G52&lt;=B114,'班次明細'!H52&gt;=C114),1,0)+IF(AND('班次明細'!L59&gt;0,'班次明細'!G59&lt;=B114,'班次明細'!H59&gt;=C114),1,0)+IF(AND('班次明細'!L66&gt;0,'班次明細'!G66&lt;=B114,'班次明細'!H66&gt;=C114),1,0)+IF(AND('班次明細'!L73&gt;0,'班次明細'!G73&lt;=B114,'班次明細'!H73&gt;=C114),1,0)+IF(AND('班次明細'!L80&gt;0,'班次明細'!G80&lt;=B114,'班次明細'!H80&gt;=C114),1,0)</x:f>
        <x:v>3</x:v>
      </x:c>
      <x:c r="H114" s="2" t="n">
        <x:f>MAX(0,E114-G114)</x:f>
        <x:v>0</x:v>
      </x:c>
      <x:c r="I114" s="2" t="n">
        <x:f>IF(F114="",0,MAX(0,G114-F114))</x:f>
        <x:v>0</x:v>
      </x:c>
      <x:c r="J114" s="2" t="n">
        <x:v>0</x:v>
      </x:c>
      <x:c r="K114" s="11" t="str">
        <x:v>—</x:v>
      </x:c>
      <x:c r="L114" s="11" t="str">
        <x:f>"營運參考"</x:f>
        <x:v>營運參考</x:v>
      </x:c>
    </x:row>
    <x:row r="115" ht="42" customHeight="1">
      <x:c r="A115" s="12" t="n">
        <x:v>46318</x:v>
      </x:c>
      <x:c r="B115" s="13" t="n">
        <x:v>0.6875</x:v>
      </x:c>
      <x:c r="C115" s="13" t="n">
        <x:v>0.7083333333333334</x:v>
      </x:c>
      <x:c r="D115" s="2" t="str">
        <x:v>營運參考</x:v>
      </x:c>
      <x:c r="E115" s="2" t="n">
        <x:v>0</x:v>
      </x:c>
      <x:c r="F115" s="2"/>
      <x:c r="G115" s="2" t="n">
        <x:f>IF(AND('班次明細'!L10&gt;0,'班次明細'!G10&lt;=B115,'班次明細'!H10&gt;=C115),1,0)+IF(AND('班次明細'!L17&gt;0,'班次明細'!G17&lt;=B115,'班次明細'!H17&gt;=C115),1,0)+IF(AND('班次明細'!L24&gt;0,'班次明細'!G24&lt;=B115,'班次明細'!H24&gt;=C115),1,0)+IF(AND('班次明細'!L31&gt;0,'班次明細'!G31&lt;=B115,'班次明細'!H31&gt;=C115),1,0)+IF(AND('班次明細'!L38&gt;0,'班次明細'!G38&lt;=B115,'班次明細'!H38&gt;=C115),1,0)+IF(AND('班次明細'!L45&gt;0,'班次明細'!G45&lt;=B115,'班次明細'!H45&gt;=C115),1,0)+IF(AND('班次明細'!L52&gt;0,'班次明細'!G52&lt;=B115,'班次明細'!H52&gt;=C115),1,0)+IF(AND('班次明細'!L59&gt;0,'班次明細'!G59&lt;=B115,'班次明細'!H59&gt;=C115),1,0)+IF(AND('班次明細'!L66&gt;0,'班次明細'!G66&lt;=B115,'班次明細'!H66&gt;=C115),1,0)+IF(AND('班次明細'!L73&gt;0,'班次明細'!G73&lt;=B115,'班次明細'!H73&gt;=C115),1,0)+IF(AND('班次明細'!L80&gt;0,'班次明細'!G80&lt;=B115,'班次明細'!H80&gt;=C115),1,0)</x:f>
        <x:v>3</x:v>
      </x:c>
      <x:c r="H115" s="2" t="n">
        <x:f>MAX(0,E115-G115)</x:f>
        <x:v>0</x:v>
      </x:c>
      <x:c r="I115" s="2" t="n">
        <x:f>IF(F115="",0,MAX(0,G115-F115))</x:f>
        <x:v>0</x:v>
      </x:c>
      <x:c r="J115" s="2" t="n">
        <x:v>0</x:v>
      </x:c>
      <x:c r="K115" s="11" t="str">
        <x:v>—</x:v>
      </x:c>
      <x:c r="L115" s="11" t="str">
        <x:f>"營運參考"</x:f>
        <x:v>營運參考</x:v>
      </x:c>
    </x:row>
    <x:row r="116" ht="42" customHeight="1">
      <x:c r="A116" s="12" t="n">
        <x:v>46318</x:v>
      </x:c>
      <x:c r="B116" s="13" t="n">
        <x:v>0.7083333333333334</x:v>
      </x:c>
      <x:c r="C116" s="13" t="n">
        <x:v>0.7291666666666666</x:v>
      </x:c>
      <x:c r="D116" s="2" t="str">
        <x:v>營運參考</x:v>
      </x:c>
      <x:c r="E116" s="2" t="n">
        <x:v>0</x:v>
      </x:c>
      <x:c r="F116" s="2"/>
      <x:c r="G116" s="2" t="n">
        <x:f>IF(AND('班次明細'!L10&gt;0,'班次明細'!G10&lt;=B116,'班次明細'!H10&gt;=C116),1,0)+IF(AND('班次明細'!L17&gt;0,'班次明細'!G17&lt;=B116,'班次明細'!H17&gt;=C116),1,0)+IF(AND('班次明細'!L24&gt;0,'班次明細'!G24&lt;=B116,'班次明細'!H24&gt;=C116),1,0)+IF(AND('班次明細'!L31&gt;0,'班次明細'!G31&lt;=B116,'班次明細'!H31&gt;=C116),1,0)+IF(AND('班次明細'!L38&gt;0,'班次明細'!G38&lt;=B116,'班次明細'!H38&gt;=C116),1,0)+IF(AND('班次明細'!L45&gt;0,'班次明細'!G45&lt;=B116,'班次明細'!H45&gt;=C116),1,0)+IF(AND('班次明細'!L52&gt;0,'班次明細'!G52&lt;=B116,'班次明細'!H52&gt;=C116),1,0)+IF(AND('班次明細'!L59&gt;0,'班次明細'!G59&lt;=B116,'班次明細'!H59&gt;=C116),1,0)+IF(AND('班次明細'!L66&gt;0,'班次明細'!G66&lt;=B116,'班次明細'!H66&gt;=C116),1,0)+IF(AND('班次明細'!L73&gt;0,'班次明細'!G73&lt;=B116,'班次明細'!H73&gt;=C116),1,0)+IF(AND('班次明細'!L80&gt;0,'班次明細'!G80&lt;=B116,'班次明細'!H80&gt;=C116),1,0)</x:f>
        <x:v>5</x:v>
      </x:c>
      <x:c r="H116" s="2" t="n">
        <x:f>MAX(0,E116-G116)</x:f>
        <x:v>0</x:v>
      </x:c>
      <x:c r="I116" s="2" t="n">
        <x:f>IF(F116="",0,MAX(0,G116-F116))</x:f>
        <x:v>0</x:v>
      </x:c>
      <x:c r="J116" s="2" t="n">
        <x:v>0</x:v>
      </x:c>
      <x:c r="K116" s="11" t="str">
        <x:v>—</x:v>
      </x:c>
      <x:c r="L116" s="11" t="str">
        <x:f>"營運參考"</x:f>
        <x:v>營運參考</x:v>
      </x:c>
    </x:row>
    <x:row r="117" ht="42" customHeight="1">
      <x:c r="A117" s="12" t="n">
        <x:v>46318</x:v>
      </x:c>
      <x:c r="B117" s="13" t="n">
        <x:v>0.7291666666666666</x:v>
      </x:c>
      <x:c r="C117" s="13" t="n">
        <x:v>0.75</x:v>
      </x:c>
      <x:c r="D117" s="2" t="str">
        <x:v>晚餐主崗</x:v>
      </x:c>
      <x:c r="E117" s="2" t="n">
        <x:v>6</x:v>
      </x:c>
      <x:c r="F117" s="2" t="n">
        <x:v>6</x:v>
      </x:c>
      <x:c r="G117" s="2" t="n">
        <x:f>IF(AND('班次明細'!L10&gt;0,'班次明細'!G10&lt;=B117,'班次明細'!H10&gt;=C117),1,0)+IF(AND('班次明細'!L17&gt;0,'班次明細'!G17&lt;=B117,'班次明細'!H17&gt;=C117),1,0)+IF(AND('班次明細'!L24&gt;0,'班次明細'!G24&lt;=B117,'班次明細'!H24&gt;=C117),1,0)+IF(AND('班次明細'!L31&gt;0,'班次明細'!G31&lt;=B117,'班次明細'!H31&gt;=C117),1,0)+IF(AND('班次明細'!L38&gt;0,'班次明細'!G38&lt;=B117,'班次明細'!H38&gt;=C117),1,0)+IF(AND('班次明細'!L45&gt;0,'班次明細'!G45&lt;=B117,'班次明細'!H45&gt;=C117),1,0)+IF(AND('班次明細'!L52&gt;0,'班次明細'!G52&lt;=B117,'班次明細'!H52&gt;=C117),1,0)+IF(AND('班次明細'!L59&gt;0,'班次明細'!G59&lt;=B117,'班次明細'!H59&gt;=C117),1,0)+IF(AND('班次明細'!L66&gt;0,'班次明細'!G66&lt;=B117,'班次明細'!H66&gt;=C117),1,0)+IF(AND('班次明細'!L73&gt;0,'班次明細'!G73&lt;=B117,'班次明細'!H73&gt;=C117),1,0)+IF(AND('班次明細'!L80&gt;0,'班次明細'!G80&lt;=B117,'班次明細'!H80&gt;=C117),1,0)</x:f>
        <x:v>5</x:v>
      </x:c>
      <x:c r="H117" s="2" t="n">
        <x:f>MAX(0,E117-G117)</x:f>
        <x:v>1</x:v>
      </x:c>
      <x:c r="I117" s="2" t="n">
        <x:f>IF(F117="",0,MAX(0,G117-F117))</x:f>
        <x:v>0</x:v>
      </x:c>
      <x:c r="J117" s="2" t="n">
        <x:f>IF((IF(RIGHT('班次明細'!O10,2)="外場",IF(AND('班次明細'!L10&gt;0,'班次明細'!G10&lt;=B117,'班次明細'!H10&gt;=C117),1,0),0)+IF(RIGHT('班次明細'!O17,2)="外場",IF(AND('班次明細'!L17&gt;0,'班次明細'!G17&lt;=B117,'班次明細'!H17&gt;=C117),1,0),0)+IF(RIGHT('班次明細'!O24,2)="外場",IF(AND('班次明細'!L24&gt;0,'班次明細'!G24&lt;=B117,'班次明細'!H24&gt;=C117),1,0),0)+IF(RIGHT('班次明細'!O31,2)="外場",IF(AND('班次明細'!L31&gt;0,'班次明細'!G31&lt;=B117,'班次明細'!H31&gt;=C117),1,0),0)+IF(RIGHT('班次明細'!O38,2)="外場",IF(AND('班次明細'!L38&gt;0,'班次明細'!G38&lt;=B117,'班次明細'!H38&gt;=C117),1,0),0)+IF(RIGHT('班次明細'!O45,2)="外場",IF(AND('班次明細'!L45&gt;0,'班次明細'!G45&lt;=B117,'班次明細'!H45&gt;=C117),1,0),0)+IF(RIGHT('班次明細'!O52,2)="外場",IF(AND('班次明細'!L52&gt;0,'班次明細'!G52&lt;=B117,'班次明細'!H52&gt;=C117),1,0),0)+IF(RIGHT('班次明細'!O59,2)="外場",IF(AND('班次明細'!L59&gt;0,'班次明細'!G59&lt;=B117,'班次明細'!H59&gt;=C117),1,0),0)+IF(RIGHT('班次明細'!O66,2)="外場",IF(AND('班次明細'!L66&gt;0,'班次明細'!G66&lt;=B117,'班次明細'!H66&gt;=C117),1,0),0)+IF(RIGHT('班次明細'!O73,2)="外場",IF(AND('班次明細'!L73&gt;0,'班次明細'!G73&lt;=B117,'班次明細'!H73&gt;=C117),1,0),0)+IF(RIGHT('班次明細'!O80,2)="外場",IF(AND('班次明細'!L80&gt;0,'班次明細'!G80&lt;=B117,'班次明細'!H80&gt;=C117),1,0),0))&gt;0,0,1)+IF((IF(RIGHT('班次明細'!O10,2)="吧台",IF(AND('班次明細'!L10&gt;0,'班次明細'!G10&lt;=B117,'班次明細'!H10&gt;=C117),1,0),0)+IF(RIGHT('班次明細'!O17,2)="吧台",IF(AND('班次明細'!L17&gt;0,'班次明細'!G17&lt;=B117,'班次明細'!H17&gt;=C117),1,0),0)+IF(RIGHT('班次明細'!O24,2)="吧台",IF(AND('班次明細'!L24&gt;0,'班次明細'!G24&lt;=B117,'班次明細'!H24&gt;=C117),1,0),0)+IF(RIGHT('班次明細'!O31,2)="吧台",IF(AND('班次明細'!L31&gt;0,'班次明細'!G31&lt;=B117,'班次明細'!H31&gt;=C117),1,0),0)+IF(RIGHT('班次明細'!O38,2)="吧台",IF(AND('班次明細'!L38&gt;0,'班次明細'!G38&lt;=B117,'班次明細'!H38&gt;=C117),1,0),0)+IF(RIGHT('班次明細'!O45,2)="吧台",IF(AND('班次明細'!L45&gt;0,'班次明細'!G45&lt;=B117,'班次明細'!H45&gt;=C117),1,0),0)+IF(RIGHT('班次明細'!O52,2)="吧台",IF(AND('班次明細'!L52&gt;0,'班次明細'!G52&lt;=B117,'班次明細'!H52&gt;=C117),1,0),0)+IF(RIGHT('班次明細'!O59,2)="吧台",IF(AND('班次明細'!L59&gt;0,'班次明細'!G59&lt;=B117,'班次明細'!H59&gt;=C117),1,0),0)+IF(RIGHT('班次明細'!O66,2)="吧台",IF(AND('班次明細'!L66&gt;0,'班次明細'!G66&lt;=B117,'班次明細'!H66&gt;=C117),1,0),0)+IF(RIGHT('班次明細'!O73,2)="吧台",IF(AND('班次明細'!L73&gt;0,'班次明細'!G73&lt;=B117,'班次明細'!H73&gt;=C117),1,0),0)+IF(RIGHT('班次明細'!O80,2)="吧台",IF(AND('班次明細'!L80&gt;0,'班次明細'!G80&lt;=B117,'班次明細'!H80&gt;=C117),1,0),0))&gt;0,0,1)+IF((IF(RIGHT('班次明細'!O10,2)="司爐",IF(AND('班次明細'!L10&gt;0,'班次明細'!G10&lt;=B117,'班次明細'!H10&gt;=C117),1,0),0)+IF(RIGHT('班次明細'!O17,2)="司爐",IF(AND('班次明細'!L17&gt;0,'班次明細'!G17&lt;=B117,'班次明細'!H17&gt;=C117),1,0),0)+IF(RIGHT('班次明細'!O24,2)="司爐",IF(AND('班次明細'!L24&gt;0,'班次明細'!G24&lt;=B117,'班次明細'!H24&gt;=C117),1,0),0)+IF(RIGHT('班次明細'!O31,2)="司爐",IF(AND('班次明細'!L31&gt;0,'班次明細'!G31&lt;=B117,'班次明細'!H31&gt;=C117),1,0),0)+IF(RIGHT('班次明細'!O38,2)="司爐",IF(AND('班次明細'!L38&gt;0,'班次明細'!G38&lt;=B117,'班次明細'!H38&gt;=C117),1,0),0)+IF(RIGHT('班次明細'!O45,2)="司爐",IF(AND('班次明細'!L45&gt;0,'班次明細'!G45&lt;=B117,'班次明細'!H45&gt;=C117),1,0),0)+IF(RIGHT('班次明細'!O52,2)="司爐",IF(AND('班次明細'!L52&gt;0,'班次明細'!G52&lt;=B117,'班次明細'!H52&gt;=C117),1,0),0)+IF(RIGHT('班次明細'!O59,2)="司爐",IF(AND('班次明細'!L59&gt;0,'班次明細'!G59&lt;=B117,'班次明細'!H59&gt;=C117),1,0),0)+IF(RIGHT('班次明細'!O66,2)="司爐",IF(AND('班次明細'!L66&gt;0,'班次明細'!G66&lt;=B117,'班次明細'!H66&gt;=C117),1,0),0)+IF(RIGHT('班次明細'!O73,2)="司爐",IF(AND('班次明細'!L73&gt;0,'班次明細'!G73&lt;=B117,'班次明細'!H73&gt;=C117),1,0),0)+IF(RIGHT('班次明細'!O80,2)="司爐",IF(AND('班次明細'!L80&gt;0,'班次明細'!G80&lt;=B117,'班次明細'!H80&gt;=C117),1,0),0))&gt;0,0,1)+IF((IF(RIGHT('班次明細'!O10,2)="料區",IF(AND('班次明細'!L10&gt;0,'班次明細'!G10&lt;=B117,'班次明細'!H10&gt;=C117),1,0),0)+IF(RIGHT('班次明細'!O17,2)="料區",IF(AND('班次明細'!L17&gt;0,'班次明細'!G17&lt;=B117,'班次明細'!H17&gt;=C117),1,0),0)+IF(RIGHT('班次明細'!O24,2)="料區",IF(AND('班次明細'!L24&gt;0,'班次明細'!G24&lt;=B117,'班次明細'!H24&gt;=C117),1,0),0)+IF(RIGHT('班次明細'!O31,2)="料區",IF(AND('班次明細'!L31&gt;0,'班次明細'!G31&lt;=B117,'班次明細'!H31&gt;=C117),1,0),0)+IF(RIGHT('班次明細'!O38,2)="料區",IF(AND('班次明細'!L38&gt;0,'班次明細'!G38&lt;=B117,'班次明細'!H38&gt;=C117),1,0),0)+IF(RIGHT('班次明細'!O45,2)="料區",IF(AND('班次明細'!L45&gt;0,'班次明細'!G45&lt;=B117,'班次明細'!H45&gt;=C117),1,0),0)+IF(RIGHT('班次明細'!O52,2)="料區",IF(AND('班次明細'!L52&gt;0,'班次明細'!G52&lt;=B117,'班次明細'!H52&gt;=C117),1,0),0)+IF(RIGHT('班次明細'!O59,2)="料區",IF(AND('班次明細'!L59&gt;0,'班次明細'!G59&lt;=B117,'班次明細'!H59&gt;=C117),1,0),0)+IF(RIGHT('班次明細'!O66,2)="料區",IF(AND('班次明細'!L66&gt;0,'班次明細'!G66&lt;=B117,'班次明細'!H66&gt;=C117),1,0),0)+IF(RIGHT('班次明細'!O73,2)="料區",IF(AND('班次明細'!L73&gt;0,'班次明細'!G73&lt;=B117,'班次明細'!H73&gt;=C117),1,0),0)+IF(RIGHT('班次明細'!O80,2)="料區",IF(AND('班次明細'!L80&gt;0,'班次明細'!G80&lt;=B117,'班次明細'!H80&gt;=C117),1,0),0))&gt;0,0,1)+IF((IF(RIGHT('班次明細'!O10,2)="炸區",IF(AND('班次明細'!L10&gt;0,'班次明細'!G10&lt;=B117,'班次明細'!H10&gt;=C117),1,0),0)+IF(RIGHT('班次明細'!O17,2)="炸區",IF(AND('班次明細'!L17&gt;0,'班次明細'!G17&lt;=B117,'班次明細'!H17&gt;=C117),1,0),0)+IF(RIGHT('班次明細'!O24,2)="炸區",IF(AND('班次明細'!L24&gt;0,'班次明細'!G24&lt;=B117,'班次明細'!H24&gt;=C117),1,0),0)+IF(RIGHT('班次明細'!O31,2)="炸區",IF(AND('班次明細'!L31&gt;0,'班次明細'!G31&lt;=B117,'班次明細'!H31&gt;=C117),1,0),0)+IF(RIGHT('班次明細'!O38,2)="炸區",IF(AND('班次明細'!L38&gt;0,'班次明細'!G38&lt;=B117,'班次明細'!H38&gt;=C117),1,0),0)+IF(RIGHT('班次明細'!O45,2)="炸區",IF(AND('班次明細'!L45&gt;0,'班次明細'!G45&lt;=B117,'班次明細'!H45&gt;=C117),1,0),0)+IF(RIGHT('班次明細'!O52,2)="炸區",IF(AND('班次明細'!L52&gt;0,'班次明細'!G52&lt;=B117,'班次明細'!H52&gt;=C117),1,0),0)+IF(RIGHT('班次明細'!O59,2)="炸區",IF(AND('班次明細'!L59&gt;0,'班次明細'!G59&lt;=B117,'班次明細'!H59&gt;=C117),1,0),0)+IF(RIGHT('班次明細'!O66,2)="炸區",IF(AND('班次明細'!L66&gt;0,'班次明細'!G66&lt;=B117,'班次明細'!H66&gt;=C117),1,0),0)+IF(RIGHT('班次明細'!O73,2)="炸區",IF(AND('班次明細'!L73&gt;0,'班次明細'!G73&lt;=B117,'班次明細'!H73&gt;=C117),1,0),0)+IF(RIGHT('班次明細'!O80,2)="炸區",IF(AND('班次明細'!L80&gt;0,'班次明細'!G80&lt;=B117,'班次明細'!H80&gt;=C117),1,0),0))&gt;0,0,1)</x:f>
        <x:v>1</x:v>
      </x:c>
      <x:c r="K117" s="11" t="str">
        <x:v>P01:外場；P03:吧台；P05:炸區；P07:料區；P08:料區</x:v>
      </x:c>
      <x:c r="L117" s="11" t="str">
        <x:f>IF(OR(H117&gt;0,I117&gt;0,J117&gt;0),"缺口／超額待處理","主崗齊；休息待現場")</x:f>
        <x:v>缺口／超額待處理</x:v>
      </x:c>
    </x:row>
    <x:row r="118" ht="42" customHeight="1">
      <x:c r="A118" s="12" t="n">
        <x:v>46318</x:v>
      </x:c>
      <x:c r="B118" s="13" t="n">
        <x:v>0.75</x:v>
      </x:c>
      <x:c r="C118" s="13" t="n">
        <x:v>0.7708333333333334</x:v>
      </x:c>
      <x:c r="D118" s="2" t="str">
        <x:v>晚餐主崗</x:v>
      </x:c>
      <x:c r="E118" s="2" t="n">
        <x:v>6</x:v>
      </x:c>
      <x:c r="F118" s="2" t="n">
        <x:v>6</x:v>
      </x:c>
      <x:c r="G118" s="2" t="n">
        <x:f>IF(AND('班次明細'!L10&gt;0,'班次明細'!G10&lt;=B118,'班次明細'!H10&gt;=C118),1,0)+IF(AND('班次明細'!L17&gt;0,'班次明細'!G17&lt;=B118,'班次明細'!H17&gt;=C118),1,0)+IF(AND('班次明細'!L24&gt;0,'班次明細'!G24&lt;=B118,'班次明細'!H24&gt;=C118),1,0)+IF(AND('班次明細'!L31&gt;0,'班次明細'!G31&lt;=B118,'班次明細'!H31&gt;=C118),1,0)+IF(AND('班次明細'!L38&gt;0,'班次明細'!G38&lt;=B118,'班次明細'!H38&gt;=C118),1,0)+IF(AND('班次明細'!L45&gt;0,'班次明細'!G45&lt;=B118,'班次明細'!H45&gt;=C118),1,0)+IF(AND('班次明細'!L52&gt;0,'班次明細'!G52&lt;=B118,'班次明細'!H52&gt;=C118),1,0)+IF(AND('班次明細'!L59&gt;0,'班次明細'!G59&lt;=B118,'班次明細'!H59&gt;=C118),1,0)+IF(AND('班次明細'!L66&gt;0,'班次明細'!G66&lt;=B118,'班次明細'!H66&gt;=C118),1,0)+IF(AND('班次明細'!L73&gt;0,'班次明細'!G73&lt;=B118,'班次明細'!H73&gt;=C118),1,0)+IF(AND('班次明細'!L80&gt;0,'班次明細'!G80&lt;=B118,'班次明細'!H80&gt;=C118),1,0)</x:f>
        <x:v>5</x:v>
      </x:c>
      <x:c r="H118" s="2" t="n">
        <x:f>MAX(0,E118-G118)</x:f>
        <x:v>1</x:v>
      </x:c>
      <x:c r="I118" s="2" t="n">
        <x:f>IF(F118="",0,MAX(0,G118-F118))</x:f>
        <x:v>0</x:v>
      </x:c>
      <x:c r="J118" s="2" t="n">
        <x:f>IF((IF(RIGHT('班次明細'!O10,2)="外場",IF(AND('班次明細'!L10&gt;0,'班次明細'!G10&lt;=B118,'班次明細'!H10&gt;=C118),1,0),0)+IF(RIGHT('班次明細'!O17,2)="外場",IF(AND('班次明細'!L17&gt;0,'班次明細'!G17&lt;=B118,'班次明細'!H17&gt;=C118),1,0),0)+IF(RIGHT('班次明細'!O24,2)="外場",IF(AND('班次明細'!L24&gt;0,'班次明細'!G24&lt;=B118,'班次明細'!H24&gt;=C118),1,0),0)+IF(RIGHT('班次明細'!O31,2)="外場",IF(AND('班次明細'!L31&gt;0,'班次明細'!G31&lt;=B118,'班次明細'!H31&gt;=C118),1,0),0)+IF(RIGHT('班次明細'!O38,2)="外場",IF(AND('班次明細'!L38&gt;0,'班次明細'!G38&lt;=B118,'班次明細'!H38&gt;=C118),1,0),0)+IF(RIGHT('班次明細'!O45,2)="外場",IF(AND('班次明細'!L45&gt;0,'班次明細'!G45&lt;=B118,'班次明細'!H45&gt;=C118),1,0),0)+IF(RIGHT('班次明細'!O52,2)="外場",IF(AND('班次明細'!L52&gt;0,'班次明細'!G52&lt;=B118,'班次明細'!H52&gt;=C118),1,0),0)+IF(RIGHT('班次明細'!O59,2)="外場",IF(AND('班次明細'!L59&gt;0,'班次明細'!G59&lt;=B118,'班次明細'!H59&gt;=C118),1,0),0)+IF(RIGHT('班次明細'!O66,2)="外場",IF(AND('班次明細'!L66&gt;0,'班次明細'!G66&lt;=B118,'班次明細'!H66&gt;=C118),1,0),0)+IF(RIGHT('班次明細'!O73,2)="外場",IF(AND('班次明細'!L73&gt;0,'班次明細'!G73&lt;=B118,'班次明細'!H73&gt;=C118),1,0),0)+IF(RIGHT('班次明細'!O80,2)="外場",IF(AND('班次明細'!L80&gt;0,'班次明細'!G80&lt;=B118,'班次明細'!H80&gt;=C118),1,0),0))&gt;0,0,1)+IF((IF(RIGHT('班次明細'!O10,2)="吧台",IF(AND('班次明細'!L10&gt;0,'班次明細'!G10&lt;=B118,'班次明細'!H10&gt;=C118),1,0),0)+IF(RIGHT('班次明細'!O17,2)="吧台",IF(AND('班次明細'!L17&gt;0,'班次明細'!G17&lt;=B118,'班次明細'!H17&gt;=C118),1,0),0)+IF(RIGHT('班次明細'!O24,2)="吧台",IF(AND('班次明細'!L24&gt;0,'班次明細'!G24&lt;=B118,'班次明細'!H24&gt;=C118),1,0),0)+IF(RIGHT('班次明細'!O31,2)="吧台",IF(AND('班次明細'!L31&gt;0,'班次明細'!G31&lt;=B118,'班次明細'!H31&gt;=C118),1,0),0)+IF(RIGHT('班次明細'!O38,2)="吧台",IF(AND('班次明細'!L38&gt;0,'班次明細'!G38&lt;=B118,'班次明細'!H38&gt;=C118),1,0),0)+IF(RIGHT('班次明細'!O45,2)="吧台",IF(AND('班次明細'!L45&gt;0,'班次明細'!G45&lt;=B118,'班次明細'!H45&gt;=C118),1,0),0)+IF(RIGHT('班次明細'!O52,2)="吧台",IF(AND('班次明細'!L52&gt;0,'班次明細'!G52&lt;=B118,'班次明細'!H52&gt;=C118),1,0),0)+IF(RIGHT('班次明細'!O59,2)="吧台",IF(AND('班次明細'!L59&gt;0,'班次明細'!G59&lt;=B118,'班次明細'!H59&gt;=C118),1,0),0)+IF(RIGHT('班次明細'!O66,2)="吧台",IF(AND('班次明細'!L66&gt;0,'班次明細'!G66&lt;=B118,'班次明細'!H66&gt;=C118),1,0),0)+IF(RIGHT('班次明細'!O73,2)="吧台",IF(AND('班次明細'!L73&gt;0,'班次明細'!G73&lt;=B118,'班次明細'!H73&gt;=C118),1,0),0)+IF(RIGHT('班次明細'!O80,2)="吧台",IF(AND('班次明細'!L80&gt;0,'班次明細'!G80&lt;=B118,'班次明細'!H80&gt;=C118),1,0),0))&gt;0,0,1)+IF((IF(RIGHT('班次明細'!O10,2)="司爐",IF(AND('班次明細'!L10&gt;0,'班次明細'!G10&lt;=B118,'班次明細'!H10&gt;=C118),1,0),0)+IF(RIGHT('班次明細'!O17,2)="司爐",IF(AND('班次明細'!L17&gt;0,'班次明細'!G17&lt;=B118,'班次明細'!H17&gt;=C118),1,0),0)+IF(RIGHT('班次明細'!O24,2)="司爐",IF(AND('班次明細'!L24&gt;0,'班次明細'!G24&lt;=B118,'班次明細'!H24&gt;=C118),1,0),0)+IF(RIGHT('班次明細'!O31,2)="司爐",IF(AND('班次明細'!L31&gt;0,'班次明細'!G31&lt;=B118,'班次明細'!H31&gt;=C118),1,0),0)+IF(RIGHT('班次明細'!O38,2)="司爐",IF(AND('班次明細'!L38&gt;0,'班次明細'!G38&lt;=B118,'班次明細'!H38&gt;=C118),1,0),0)+IF(RIGHT('班次明細'!O45,2)="司爐",IF(AND('班次明細'!L45&gt;0,'班次明細'!G45&lt;=B118,'班次明細'!H45&gt;=C118),1,0),0)+IF(RIGHT('班次明細'!O52,2)="司爐",IF(AND('班次明細'!L52&gt;0,'班次明細'!G52&lt;=B118,'班次明細'!H52&gt;=C118),1,0),0)+IF(RIGHT('班次明細'!O59,2)="司爐",IF(AND('班次明細'!L59&gt;0,'班次明細'!G59&lt;=B118,'班次明細'!H59&gt;=C118),1,0),0)+IF(RIGHT('班次明細'!O66,2)="司爐",IF(AND('班次明細'!L66&gt;0,'班次明細'!G66&lt;=B118,'班次明細'!H66&gt;=C118),1,0),0)+IF(RIGHT('班次明細'!O73,2)="司爐",IF(AND('班次明細'!L73&gt;0,'班次明細'!G73&lt;=B118,'班次明細'!H73&gt;=C118),1,0),0)+IF(RIGHT('班次明細'!O80,2)="司爐",IF(AND('班次明細'!L80&gt;0,'班次明細'!G80&lt;=B118,'班次明細'!H80&gt;=C118),1,0),0))&gt;0,0,1)+IF((IF(RIGHT('班次明細'!O10,2)="料區",IF(AND('班次明細'!L10&gt;0,'班次明細'!G10&lt;=B118,'班次明細'!H10&gt;=C118),1,0),0)+IF(RIGHT('班次明細'!O17,2)="料區",IF(AND('班次明細'!L17&gt;0,'班次明細'!G17&lt;=B118,'班次明細'!H17&gt;=C118),1,0),0)+IF(RIGHT('班次明細'!O24,2)="料區",IF(AND('班次明細'!L24&gt;0,'班次明細'!G24&lt;=B118,'班次明細'!H24&gt;=C118),1,0),0)+IF(RIGHT('班次明細'!O31,2)="料區",IF(AND('班次明細'!L31&gt;0,'班次明細'!G31&lt;=B118,'班次明細'!H31&gt;=C118),1,0),0)+IF(RIGHT('班次明細'!O38,2)="料區",IF(AND('班次明細'!L38&gt;0,'班次明細'!G38&lt;=B118,'班次明細'!H38&gt;=C118),1,0),0)+IF(RIGHT('班次明細'!O45,2)="料區",IF(AND('班次明細'!L45&gt;0,'班次明細'!G45&lt;=B118,'班次明細'!H45&gt;=C118),1,0),0)+IF(RIGHT('班次明細'!O52,2)="料區",IF(AND('班次明細'!L52&gt;0,'班次明細'!G52&lt;=B118,'班次明細'!H52&gt;=C118),1,0),0)+IF(RIGHT('班次明細'!O59,2)="料區",IF(AND('班次明細'!L59&gt;0,'班次明細'!G59&lt;=B118,'班次明細'!H59&gt;=C118),1,0),0)+IF(RIGHT('班次明細'!O66,2)="料區",IF(AND('班次明細'!L66&gt;0,'班次明細'!G66&lt;=B118,'班次明細'!H66&gt;=C118),1,0),0)+IF(RIGHT('班次明細'!O73,2)="料區",IF(AND('班次明細'!L73&gt;0,'班次明細'!G73&lt;=B118,'班次明細'!H73&gt;=C118),1,0),0)+IF(RIGHT('班次明細'!O80,2)="料區",IF(AND('班次明細'!L80&gt;0,'班次明細'!G80&lt;=B118,'班次明細'!H80&gt;=C118),1,0),0))&gt;0,0,1)+IF((IF(RIGHT('班次明細'!O10,2)="炸區",IF(AND('班次明細'!L10&gt;0,'班次明細'!G10&lt;=B118,'班次明細'!H10&gt;=C118),1,0),0)+IF(RIGHT('班次明細'!O17,2)="炸區",IF(AND('班次明細'!L17&gt;0,'班次明細'!G17&lt;=B118,'班次明細'!H17&gt;=C118),1,0),0)+IF(RIGHT('班次明細'!O24,2)="炸區",IF(AND('班次明細'!L24&gt;0,'班次明細'!G24&lt;=B118,'班次明細'!H24&gt;=C118),1,0),0)+IF(RIGHT('班次明細'!O31,2)="炸區",IF(AND('班次明細'!L31&gt;0,'班次明細'!G31&lt;=B118,'班次明細'!H31&gt;=C118),1,0),0)+IF(RIGHT('班次明細'!O38,2)="炸區",IF(AND('班次明細'!L38&gt;0,'班次明細'!G38&lt;=B118,'班次明細'!H38&gt;=C118),1,0),0)+IF(RIGHT('班次明細'!O45,2)="炸區",IF(AND('班次明細'!L45&gt;0,'班次明細'!G45&lt;=B118,'班次明細'!H45&gt;=C118),1,0),0)+IF(RIGHT('班次明細'!O52,2)="炸區",IF(AND('班次明細'!L52&gt;0,'班次明細'!G52&lt;=B118,'班次明細'!H52&gt;=C118),1,0),0)+IF(RIGHT('班次明細'!O59,2)="炸區",IF(AND('班次明細'!L59&gt;0,'班次明細'!G59&lt;=B118,'班次明細'!H59&gt;=C118),1,0),0)+IF(RIGHT('班次明細'!O66,2)="炸區",IF(AND('班次明細'!L66&gt;0,'班次明細'!G66&lt;=B118,'班次明細'!H66&gt;=C118),1,0),0)+IF(RIGHT('班次明細'!O73,2)="炸區",IF(AND('班次明細'!L73&gt;0,'班次明細'!G73&lt;=B118,'班次明細'!H73&gt;=C118),1,0),0)+IF(RIGHT('班次明細'!O80,2)="炸區",IF(AND('班次明細'!L80&gt;0,'班次明細'!G80&lt;=B118,'班次明細'!H80&gt;=C118),1,0),0))&gt;0,0,1)</x:f>
        <x:v>0</x:v>
      </x:c>
      <x:c r="K118" s="11" t="str">
        <x:v>P01:外場；P03:吧台；P05:炸區；P06:司爐；P07:料區</x:v>
      </x:c>
      <x:c r="L118" s="11" t="str">
        <x:f>IF(OR(H118&gt;0,I118&gt;0,J118&gt;0),"缺口／超額待處理","主崗齊；休息待現場")</x:f>
        <x:v>缺口／超額待處理</x:v>
      </x:c>
    </x:row>
    <x:row r="119" ht="42" customHeight="1">
      <x:c r="A119" s="12" t="n">
        <x:v>46318</x:v>
      </x:c>
      <x:c r="B119" s="13" t="n">
        <x:v>0.7708333333333334</x:v>
      </x:c>
      <x:c r="C119" s="13" t="n">
        <x:v>0.7916666666666666</x:v>
      </x:c>
      <x:c r="D119" s="2" t="str">
        <x:v>晚餐主崗</x:v>
      </x:c>
      <x:c r="E119" s="2" t="n">
        <x:v>6</x:v>
      </x:c>
      <x:c r="F119" s="2" t="n">
        <x:v>6</x:v>
      </x:c>
      <x:c r="G119" s="2" t="n">
        <x:f>IF(AND('班次明細'!L10&gt;0,'班次明細'!G10&lt;=B119,'班次明細'!H10&gt;=C119),1,0)+IF(AND('班次明細'!L17&gt;0,'班次明細'!G17&lt;=B119,'班次明細'!H17&gt;=C119),1,0)+IF(AND('班次明細'!L24&gt;0,'班次明細'!G24&lt;=B119,'班次明細'!H24&gt;=C119),1,0)+IF(AND('班次明細'!L31&gt;0,'班次明細'!G31&lt;=B119,'班次明細'!H31&gt;=C119),1,0)+IF(AND('班次明細'!L38&gt;0,'班次明細'!G38&lt;=B119,'班次明細'!H38&gt;=C119),1,0)+IF(AND('班次明細'!L45&gt;0,'班次明細'!G45&lt;=B119,'班次明細'!H45&gt;=C119),1,0)+IF(AND('班次明細'!L52&gt;0,'班次明細'!G52&lt;=B119,'班次明細'!H52&gt;=C119),1,0)+IF(AND('班次明細'!L59&gt;0,'班次明細'!G59&lt;=B119,'班次明細'!H59&gt;=C119),1,0)+IF(AND('班次明細'!L66&gt;0,'班次明細'!G66&lt;=B119,'班次明細'!H66&gt;=C119),1,0)+IF(AND('班次明細'!L73&gt;0,'班次明細'!G73&lt;=B119,'班次明細'!H73&gt;=C119),1,0)+IF(AND('班次明細'!L80&gt;0,'班次明細'!G80&lt;=B119,'班次明細'!H80&gt;=C119),1,0)</x:f>
        <x:v>5</x:v>
      </x:c>
      <x:c r="H119" s="2" t="n">
        <x:f>MAX(0,E119-G119)</x:f>
        <x:v>1</x:v>
      </x:c>
      <x:c r="I119" s="2" t="n">
        <x:f>IF(F119="",0,MAX(0,G119-F119))</x:f>
        <x:v>0</x:v>
      </x:c>
      <x:c r="J119" s="2" t="n">
        <x:f>IF((IF(RIGHT('班次明細'!O10,2)="外場",IF(AND('班次明細'!L10&gt;0,'班次明細'!G10&lt;=B119,'班次明細'!H10&gt;=C119),1,0),0)+IF(RIGHT('班次明細'!O17,2)="外場",IF(AND('班次明細'!L17&gt;0,'班次明細'!G17&lt;=B119,'班次明細'!H17&gt;=C119),1,0),0)+IF(RIGHT('班次明細'!O24,2)="外場",IF(AND('班次明細'!L24&gt;0,'班次明細'!G24&lt;=B119,'班次明細'!H24&gt;=C119),1,0),0)+IF(RIGHT('班次明細'!O31,2)="外場",IF(AND('班次明細'!L31&gt;0,'班次明細'!G31&lt;=B119,'班次明細'!H31&gt;=C119),1,0),0)+IF(RIGHT('班次明細'!O38,2)="外場",IF(AND('班次明細'!L38&gt;0,'班次明細'!G38&lt;=B119,'班次明細'!H38&gt;=C119),1,0),0)+IF(RIGHT('班次明細'!O45,2)="外場",IF(AND('班次明細'!L45&gt;0,'班次明細'!G45&lt;=B119,'班次明細'!H45&gt;=C119),1,0),0)+IF(RIGHT('班次明細'!O52,2)="外場",IF(AND('班次明細'!L52&gt;0,'班次明細'!G52&lt;=B119,'班次明細'!H52&gt;=C119),1,0),0)+IF(RIGHT('班次明細'!O59,2)="外場",IF(AND('班次明細'!L59&gt;0,'班次明細'!G59&lt;=B119,'班次明細'!H59&gt;=C119),1,0),0)+IF(RIGHT('班次明細'!O66,2)="外場",IF(AND('班次明細'!L66&gt;0,'班次明細'!G66&lt;=B119,'班次明細'!H66&gt;=C119),1,0),0)+IF(RIGHT('班次明細'!O73,2)="外場",IF(AND('班次明細'!L73&gt;0,'班次明細'!G73&lt;=B119,'班次明細'!H73&gt;=C119),1,0),0)+IF(RIGHT('班次明細'!O80,2)="外場",IF(AND('班次明細'!L80&gt;0,'班次明細'!G80&lt;=B119,'班次明細'!H80&gt;=C119),1,0),0))&gt;0,0,1)+IF((IF(RIGHT('班次明細'!O10,2)="吧台",IF(AND('班次明細'!L10&gt;0,'班次明細'!G10&lt;=B119,'班次明細'!H10&gt;=C119),1,0),0)+IF(RIGHT('班次明細'!O17,2)="吧台",IF(AND('班次明細'!L17&gt;0,'班次明細'!G17&lt;=B119,'班次明細'!H17&gt;=C119),1,0),0)+IF(RIGHT('班次明細'!O24,2)="吧台",IF(AND('班次明細'!L24&gt;0,'班次明細'!G24&lt;=B119,'班次明細'!H24&gt;=C119),1,0),0)+IF(RIGHT('班次明細'!O31,2)="吧台",IF(AND('班次明細'!L31&gt;0,'班次明細'!G31&lt;=B119,'班次明細'!H31&gt;=C119),1,0),0)+IF(RIGHT('班次明細'!O38,2)="吧台",IF(AND('班次明細'!L38&gt;0,'班次明細'!G38&lt;=B119,'班次明細'!H38&gt;=C119),1,0),0)+IF(RIGHT('班次明細'!O45,2)="吧台",IF(AND('班次明細'!L45&gt;0,'班次明細'!G45&lt;=B119,'班次明細'!H45&gt;=C119),1,0),0)+IF(RIGHT('班次明細'!O52,2)="吧台",IF(AND('班次明細'!L52&gt;0,'班次明細'!G52&lt;=B119,'班次明細'!H52&gt;=C119),1,0),0)+IF(RIGHT('班次明細'!O59,2)="吧台",IF(AND('班次明細'!L59&gt;0,'班次明細'!G59&lt;=B119,'班次明細'!H59&gt;=C119),1,0),0)+IF(RIGHT('班次明細'!O66,2)="吧台",IF(AND('班次明細'!L66&gt;0,'班次明細'!G66&lt;=B119,'班次明細'!H66&gt;=C119),1,0),0)+IF(RIGHT('班次明細'!O73,2)="吧台",IF(AND('班次明細'!L73&gt;0,'班次明細'!G73&lt;=B119,'班次明細'!H73&gt;=C119),1,0),0)+IF(RIGHT('班次明細'!O80,2)="吧台",IF(AND('班次明細'!L80&gt;0,'班次明細'!G80&lt;=B119,'班次明細'!H80&gt;=C119),1,0),0))&gt;0,0,1)+IF((IF(RIGHT('班次明細'!O10,2)="司爐",IF(AND('班次明細'!L10&gt;0,'班次明細'!G10&lt;=B119,'班次明細'!H10&gt;=C119),1,0),0)+IF(RIGHT('班次明細'!O17,2)="司爐",IF(AND('班次明細'!L17&gt;0,'班次明細'!G17&lt;=B119,'班次明細'!H17&gt;=C119),1,0),0)+IF(RIGHT('班次明細'!O24,2)="司爐",IF(AND('班次明細'!L24&gt;0,'班次明細'!G24&lt;=B119,'班次明細'!H24&gt;=C119),1,0),0)+IF(RIGHT('班次明細'!O31,2)="司爐",IF(AND('班次明細'!L31&gt;0,'班次明細'!G31&lt;=B119,'班次明細'!H31&gt;=C119),1,0),0)+IF(RIGHT('班次明細'!O38,2)="司爐",IF(AND('班次明細'!L38&gt;0,'班次明細'!G38&lt;=B119,'班次明細'!H38&gt;=C119),1,0),0)+IF(RIGHT('班次明細'!O45,2)="司爐",IF(AND('班次明細'!L45&gt;0,'班次明細'!G45&lt;=B119,'班次明細'!H45&gt;=C119),1,0),0)+IF(RIGHT('班次明細'!O52,2)="司爐",IF(AND('班次明細'!L52&gt;0,'班次明細'!G52&lt;=B119,'班次明細'!H52&gt;=C119),1,0),0)+IF(RIGHT('班次明細'!O59,2)="司爐",IF(AND('班次明細'!L59&gt;0,'班次明細'!G59&lt;=B119,'班次明細'!H59&gt;=C119),1,0),0)+IF(RIGHT('班次明細'!O66,2)="司爐",IF(AND('班次明細'!L66&gt;0,'班次明細'!G66&lt;=B119,'班次明細'!H66&gt;=C119),1,0),0)+IF(RIGHT('班次明細'!O73,2)="司爐",IF(AND('班次明細'!L73&gt;0,'班次明細'!G73&lt;=B119,'班次明細'!H73&gt;=C119),1,0),0)+IF(RIGHT('班次明細'!O80,2)="司爐",IF(AND('班次明細'!L80&gt;0,'班次明細'!G80&lt;=B119,'班次明細'!H80&gt;=C119),1,0),0))&gt;0,0,1)+IF((IF(RIGHT('班次明細'!O10,2)="料區",IF(AND('班次明細'!L10&gt;0,'班次明細'!G10&lt;=B119,'班次明細'!H10&gt;=C119),1,0),0)+IF(RIGHT('班次明細'!O17,2)="料區",IF(AND('班次明細'!L17&gt;0,'班次明細'!G17&lt;=B119,'班次明細'!H17&gt;=C119),1,0),0)+IF(RIGHT('班次明細'!O24,2)="料區",IF(AND('班次明細'!L24&gt;0,'班次明細'!G24&lt;=B119,'班次明細'!H24&gt;=C119),1,0),0)+IF(RIGHT('班次明細'!O31,2)="料區",IF(AND('班次明細'!L31&gt;0,'班次明細'!G31&lt;=B119,'班次明細'!H31&gt;=C119),1,0),0)+IF(RIGHT('班次明細'!O38,2)="料區",IF(AND('班次明細'!L38&gt;0,'班次明細'!G38&lt;=B119,'班次明細'!H38&gt;=C119),1,0),0)+IF(RIGHT('班次明細'!O45,2)="料區",IF(AND('班次明細'!L45&gt;0,'班次明細'!G45&lt;=B119,'班次明細'!H45&gt;=C119),1,0),0)+IF(RIGHT('班次明細'!O52,2)="料區",IF(AND('班次明細'!L52&gt;0,'班次明細'!G52&lt;=B119,'班次明細'!H52&gt;=C119),1,0),0)+IF(RIGHT('班次明細'!O59,2)="料區",IF(AND('班次明細'!L59&gt;0,'班次明細'!G59&lt;=B119,'班次明細'!H59&gt;=C119),1,0),0)+IF(RIGHT('班次明細'!O66,2)="料區",IF(AND('班次明細'!L66&gt;0,'班次明細'!G66&lt;=B119,'班次明細'!H66&gt;=C119),1,0),0)+IF(RIGHT('班次明細'!O73,2)="料區",IF(AND('班次明細'!L73&gt;0,'班次明細'!G73&lt;=B119,'班次明細'!H73&gt;=C119),1,0),0)+IF(RIGHT('班次明細'!O80,2)="料區",IF(AND('班次明細'!L80&gt;0,'班次明細'!G80&lt;=B119,'班次明細'!H80&gt;=C119),1,0),0))&gt;0,0,1)+IF((IF(RIGHT('班次明細'!O10,2)="炸區",IF(AND('班次明細'!L10&gt;0,'班次明細'!G10&lt;=B119,'班次明細'!H10&gt;=C119),1,0),0)+IF(RIGHT('班次明細'!O17,2)="炸區",IF(AND('班次明細'!L17&gt;0,'班次明細'!G17&lt;=B119,'班次明細'!H17&gt;=C119),1,0),0)+IF(RIGHT('班次明細'!O24,2)="炸區",IF(AND('班次明細'!L24&gt;0,'班次明細'!G24&lt;=B119,'班次明細'!H24&gt;=C119),1,0),0)+IF(RIGHT('班次明細'!O31,2)="炸區",IF(AND('班次明細'!L31&gt;0,'班次明細'!G31&lt;=B119,'班次明細'!H31&gt;=C119),1,0),0)+IF(RIGHT('班次明細'!O38,2)="炸區",IF(AND('班次明細'!L38&gt;0,'班次明細'!G38&lt;=B119,'班次明細'!H38&gt;=C119),1,0),0)+IF(RIGHT('班次明細'!O45,2)="炸區",IF(AND('班次明細'!L45&gt;0,'班次明細'!G45&lt;=B119,'班次明細'!H45&gt;=C119),1,0),0)+IF(RIGHT('班次明細'!O52,2)="炸區",IF(AND('班次明細'!L52&gt;0,'班次明細'!G52&lt;=B119,'班次明細'!H52&gt;=C119),1,0),0)+IF(RIGHT('班次明細'!O59,2)="炸區",IF(AND('班次明細'!L59&gt;0,'班次明細'!G59&lt;=B119,'班次明細'!H59&gt;=C119),1,0),0)+IF(RIGHT('班次明細'!O66,2)="炸區",IF(AND('班次明細'!L66&gt;0,'班次明細'!G66&lt;=B119,'班次明細'!H66&gt;=C119),1,0),0)+IF(RIGHT('班次明細'!O73,2)="炸區",IF(AND('班次明細'!L73&gt;0,'班次明細'!G73&lt;=B119,'班次明細'!H73&gt;=C119),1,0),0)+IF(RIGHT('班次明細'!O80,2)="炸區",IF(AND('班次明細'!L80&gt;0,'班次明細'!G80&lt;=B119,'班次明細'!H80&gt;=C119),1,0),0))&gt;0,0,1)</x:f>
        <x:v>0</x:v>
      </x:c>
      <x:c r="K119" s="11" t="str">
        <x:v>P01:外場；P03:吧台；P05:炸區；P06:司爐；P07:料區</x:v>
      </x:c>
      <x:c r="L119" s="11" t="str">
        <x:f>IF(OR(H119&gt;0,I119&gt;0,J119&gt;0),"缺口／超額待處理","主崗齊；休息待現場")</x:f>
        <x:v>缺口／超額待處理</x:v>
      </x:c>
    </x:row>
    <x:row r="120" ht="42" customHeight="1">
      <x:c r="A120" s="12" t="n">
        <x:v>46318</x:v>
      </x:c>
      <x:c r="B120" s="13" t="n">
        <x:v>0.7916666666666666</x:v>
      </x:c>
      <x:c r="C120" s="13" t="n">
        <x:v>0.8125</x:v>
      </x:c>
      <x:c r="D120" s="2" t="str">
        <x:v>晚餐主崗</x:v>
      </x:c>
      <x:c r="E120" s="2" t="n">
        <x:v>6</x:v>
      </x:c>
      <x:c r="F120" s="2" t="n">
        <x:v>6</x:v>
      </x:c>
      <x:c r="G120" s="2" t="n">
        <x:f>IF(AND('班次明細'!L10&gt;0,'班次明細'!G10&lt;=B120,'班次明細'!H10&gt;=C120),1,0)+IF(AND('班次明細'!L17&gt;0,'班次明細'!G17&lt;=B120,'班次明細'!H17&gt;=C120),1,0)+IF(AND('班次明細'!L24&gt;0,'班次明細'!G24&lt;=B120,'班次明細'!H24&gt;=C120),1,0)+IF(AND('班次明細'!L31&gt;0,'班次明細'!G31&lt;=B120,'班次明細'!H31&gt;=C120),1,0)+IF(AND('班次明細'!L38&gt;0,'班次明細'!G38&lt;=B120,'班次明細'!H38&gt;=C120),1,0)+IF(AND('班次明細'!L45&gt;0,'班次明細'!G45&lt;=B120,'班次明細'!H45&gt;=C120),1,0)+IF(AND('班次明細'!L52&gt;0,'班次明細'!G52&lt;=B120,'班次明細'!H52&gt;=C120),1,0)+IF(AND('班次明細'!L59&gt;0,'班次明細'!G59&lt;=B120,'班次明細'!H59&gt;=C120),1,0)+IF(AND('班次明細'!L66&gt;0,'班次明細'!G66&lt;=B120,'班次明細'!H66&gt;=C120),1,0)+IF(AND('班次明細'!L73&gt;0,'班次明細'!G73&lt;=B120,'班次明細'!H73&gt;=C120),1,0)+IF(AND('班次明細'!L80&gt;0,'班次明細'!G80&lt;=B120,'班次明細'!H80&gt;=C120),1,0)</x:f>
        <x:v>5</x:v>
      </x:c>
      <x:c r="H120" s="2" t="n">
        <x:f>MAX(0,E120-G120)</x:f>
        <x:v>1</x:v>
      </x:c>
      <x:c r="I120" s="2" t="n">
        <x:f>IF(F120="",0,MAX(0,G120-F120))</x:f>
        <x:v>0</x:v>
      </x:c>
      <x:c r="J120" s="2" t="n">
        <x:f>IF((IF(RIGHT('班次明細'!O10,2)="外場",IF(AND('班次明細'!L10&gt;0,'班次明細'!G10&lt;=B120,'班次明細'!H10&gt;=C120),1,0),0)+IF(RIGHT('班次明細'!O17,2)="外場",IF(AND('班次明細'!L17&gt;0,'班次明細'!G17&lt;=B120,'班次明細'!H17&gt;=C120),1,0),0)+IF(RIGHT('班次明細'!O24,2)="外場",IF(AND('班次明細'!L24&gt;0,'班次明細'!G24&lt;=B120,'班次明細'!H24&gt;=C120),1,0),0)+IF(RIGHT('班次明細'!O31,2)="外場",IF(AND('班次明細'!L31&gt;0,'班次明細'!G31&lt;=B120,'班次明細'!H31&gt;=C120),1,0),0)+IF(RIGHT('班次明細'!O38,2)="外場",IF(AND('班次明細'!L38&gt;0,'班次明細'!G38&lt;=B120,'班次明細'!H38&gt;=C120),1,0),0)+IF(RIGHT('班次明細'!O45,2)="外場",IF(AND('班次明細'!L45&gt;0,'班次明細'!G45&lt;=B120,'班次明細'!H45&gt;=C120),1,0),0)+IF(RIGHT('班次明細'!O52,2)="外場",IF(AND('班次明細'!L52&gt;0,'班次明細'!G52&lt;=B120,'班次明細'!H52&gt;=C120),1,0),0)+IF(RIGHT('班次明細'!O59,2)="外場",IF(AND('班次明細'!L59&gt;0,'班次明細'!G59&lt;=B120,'班次明細'!H59&gt;=C120),1,0),0)+IF(RIGHT('班次明細'!O66,2)="外場",IF(AND('班次明細'!L66&gt;0,'班次明細'!G66&lt;=B120,'班次明細'!H66&gt;=C120),1,0),0)+IF(RIGHT('班次明細'!O73,2)="外場",IF(AND('班次明細'!L73&gt;0,'班次明細'!G73&lt;=B120,'班次明細'!H73&gt;=C120),1,0),0)+IF(RIGHT('班次明細'!O80,2)="外場",IF(AND('班次明細'!L80&gt;0,'班次明細'!G80&lt;=B120,'班次明細'!H80&gt;=C120),1,0),0))&gt;0,0,1)+IF((IF(RIGHT('班次明細'!O10,2)="吧台",IF(AND('班次明細'!L10&gt;0,'班次明細'!G10&lt;=B120,'班次明細'!H10&gt;=C120),1,0),0)+IF(RIGHT('班次明細'!O17,2)="吧台",IF(AND('班次明細'!L17&gt;0,'班次明細'!G17&lt;=B120,'班次明細'!H17&gt;=C120),1,0),0)+IF(RIGHT('班次明細'!O24,2)="吧台",IF(AND('班次明細'!L24&gt;0,'班次明細'!G24&lt;=B120,'班次明細'!H24&gt;=C120),1,0),0)+IF(RIGHT('班次明細'!O31,2)="吧台",IF(AND('班次明細'!L31&gt;0,'班次明細'!G31&lt;=B120,'班次明細'!H31&gt;=C120),1,0),0)+IF(RIGHT('班次明細'!O38,2)="吧台",IF(AND('班次明細'!L38&gt;0,'班次明細'!G38&lt;=B120,'班次明細'!H38&gt;=C120),1,0),0)+IF(RIGHT('班次明細'!O45,2)="吧台",IF(AND('班次明細'!L45&gt;0,'班次明細'!G45&lt;=B120,'班次明細'!H45&gt;=C120),1,0),0)+IF(RIGHT('班次明細'!O52,2)="吧台",IF(AND('班次明細'!L52&gt;0,'班次明細'!G52&lt;=B120,'班次明細'!H52&gt;=C120),1,0),0)+IF(RIGHT('班次明細'!O59,2)="吧台",IF(AND('班次明細'!L59&gt;0,'班次明細'!G59&lt;=B120,'班次明細'!H59&gt;=C120),1,0),0)+IF(RIGHT('班次明細'!O66,2)="吧台",IF(AND('班次明細'!L66&gt;0,'班次明細'!G66&lt;=B120,'班次明細'!H66&gt;=C120),1,0),0)+IF(RIGHT('班次明細'!O73,2)="吧台",IF(AND('班次明細'!L73&gt;0,'班次明細'!G73&lt;=B120,'班次明細'!H73&gt;=C120),1,0),0)+IF(RIGHT('班次明細'!O80,2)="吧台",IF(AND('班次明細'!L80&gt;0,'班次明細'!G80&lt;=B120,'班次明細'!H80&gt;=C120),1,0),0))&gt;0,0,1)+IF((IF(RIGHT('班次明細'!O10,2)="司爐",IF(AND('班次明細'!L10&gt;0,'班次明細'!G10&lt;=B120,'班次明細'!H10&gt;=C120),1,0),0)+IF(RIGHT('班次明細'!O17,2)="司爐",IF(AND('班次明細'!L17&gt;0,'班次明細'!G17&lt;=B120,'班次明細'!H17&gt;=C120),1,0),0)+IF(RIGHT('班次明細'!O24,2)="司爐",IF(AND('班次明細'!L24&gt;0,'班次明細'!G24&lt;=B120,'班次明細'!H24&gt;=C120),1,0),0)+IF(RIGHT('班次明細'!O31,2)="司爐",IF(AND('班次明細'!L31&gt;0,'班次明細'!G31&lt;=B120,'班次明細'!H31&gt;=C120),1,0),0)+IF(RIGHT('班次明細'!O38,2)="司爐",IF(AND('班次明細'!L38&gt;0,'班次明細'!G38&lt;=B120,'班次明細'!H38&gt;=C120),1,0),0)+IF(RIGHT('班次明細'!O45,2)="司爐",IF(AND('班次明細'!L45&gt;0,'班次明細'!G45&lt;=B120,'班次明細'!H45&gt;=C120),1,0),0)+IF(RIGHT('班次明細'!O52,2)="司爐",IF(AND('班次明細'!L52&gt;0,'班次明細'!G52&lt;=B120,'班次明細'!H52&gt;=C120),1,0),0)+IF(RIGHT('班次明細'!O59,2)="司爐",IF(AND('班次明細'!L59&gt;0,'班次明細'!G59&lt;=B120,'班次明細'!H59&gt;=C120),1,0),0)+IF(RIGHT('班次明細'!O66,2)="司爐",IF(AND('班次明細'!L66&gt;0,'班次明細'!G66&lt;=B120,'班次明細'!H66&gt;=C120),1,0),0)+IF(RIGHT('班次明細'!O73,2)="司爐",IF(AND('班次明細'!L73&gt;0,'班次明細'!G73&lt;=B120,'班次明細'!H73&gt;=C120),1,0),0)+IF(RIGHT('班次明細'!O80,2)="司爐",IF(AND('班次明細'!L80&gt;0,'班次明細'!G80&lt;=B120,'班次明細'!H80&gt;=C120),1,0),0))&gt;0,0,1)+IF((IF(RIGHT('班次明細'!O10,2)="料區",IF(AND('班次明細'!L10&gt;0,'班次明細'!G10&lt;=B120,'班次明細'!H10&gt;=C120),1,0),0)+IF(RIGHT('班次明細'!O17,2)="料區",IF(AND('班次明細'!L17&gt;0,'班次明細'!G17&lt;=B120,'班次明細'!H17&gt;=C120),1,0),0)+IF(RIGHT('班次明細'!O24,2)="料區",IF(AND('班次明細'!L24&gt;0,'班次明細'!G24&lt;=B120,'班次明細'!H24&gt;=C120),1,0),0)+IF(RIGHT('班次明細'!O31,2)="料區",IF(AND('班次明細'!L31&gt;0,'班次明細'!G31&lt;=B120,'班次明細'!H31&gt;=C120),1,0),0)+IF(RIGHT('班次明細'!O38,2)="料區",IF(AND('班次明細'!L38&gt;0,'班次明細'!G38&lt;=B120,'班次明細'!H38&gt;=C120),1,0),0)+IF(RIGHT('班次明細'!O45,2)="料區",IF(AND('班次明細'!L45&gt;0,'班次明細'!G45&lt;=B120,'班次明細'!H45&gt;=C120),1,0),0)+IF(RIGHT('班次明細'!O52,2)="料區",IF(AND('班次明細'!L52&gt;0,'班次明細'!G52&lt;=B120,'班次明細'!H52&gt;=C120),1,0),0)+IF(RIGHT('班次明細'!O59,2)="料區",IF(AND('班次明細'!L59&gt;0,'班次明細'!G59&lt;=B120,'班次明細'!H59&gt;=C120),1,0),0)+IF(RIGHT('班次明細'!O66,2)="料區",IF(AND('班次明細'!L66&gt;0,'班次明細'!G66&lt;=B120,'班次明細'!H66&gt;=C120),1,0),0)+IF(RIGHT('班次明細'!O73,2)="料區",IF(AND('班次明細'!L73&gt;0,'班次明細'!G73&lt;=B120,'班次明細'!H73&gt;=C120),1,0),0)+IF(RIGHT('班次明細'!O80,2)="料區",IF(AND('班次明細'!L80&gt;0,'班次明細'!G80&lt;=B120,'班次明細'!H80&gt;=C120),1,0),0))&gt;0,0,1)+IF((IF(RIGHT('班次明細'!O10,2)="炸區",IF(AND('班次明細'!L10&gt;0,'班次明細'!G10&lt;=B120,'班次明細'!H10&gt;=C120),1,0),0)+IF(RIGHT('班次明細'!O17,2)="炸區",IF(AND('班次明細'!L17&gt;0,'班次明細'!G17&lt;=B120,'班次明細'!H17&gt;=C120),1,0),0)+IF(RIGHT('班次明細'!O24,2)="炸區",IF(AND('班次明細'!L24&gt;0,'班次明細'!G24&lt;=B120,'班次明細'!H24&gt;=C120),1,0),0)+IF(RIGHT('班次明細'!O31,2)="炸區",IF(AND('班次明細'!L31&gt;0,'班次明細'!G31&lt;=B120,'班次明細'!H31&gt;=C120),1,0),0)+IF(RIGHT('班次明細'!O38,2)="炸區",IF(AND('班次明細'!L38&gt;0,'班次明細'!G38&lt;=B120,'班次明細'!H38&gt;=C120),1,0),0)+IF(RIGHT('班次明細'!O45,2)="炸區",IF(AND('班次明細'!L45&gt;0,'班次明細'!G45&lt;=B120,'班次明細'!H45&gt;=C120),1,0),0)+IF(RIGHT('班次明細'!O52,2)="炸區",IF(AND('班次明細'!L52&gt;0,'班次明細'!G52&lt;=B120,'班次明細'!H52&gt;=C120),1,0),0)+IF(RIGHT('班次明細'!O59,2)="炸區",IF(AND('班次明細'!L59&gt;0,'班次明細'!G59&lt;=B120,'班次明細'!H59&gt;=C120),1,0),0)+IF(RIGHT('班次明細'!O66,2)="炸區",IF(AND('班次明細'!L66&gt;0,'班次明細'!G66&lt;=B120,'班次明細'!H66&gt;=C120),1,0),0)+IF(RIGHT('班次明細'!O73,2)="炸區",IF(AND('班次明細'!L73&gt;0,'班次明細'!G73&lt;=B120,'班次明細'!H73&gt;=C120),1,0),0)+IF(RIGHT('班次明細'!O80,2)="炸區",IF(AND('班次明細'!L80&gt;0,'班次明細'!G80&lt;=B120,'班次明細'!H80&gt;=C120),1,0),0))&gt;0,0,1)</x:f>
        <x:v>0</x:v>
      </x:c>
      <x:c r="K120" s="11" t="str">
        <x:v>P01:外場；P03:吧台；P05:炸區；P06:司爐；P07:料區</x:v>
      </x:c>
      <x:c r="L120" s="11" t="str">
        <x:f>IF(OR(H120&gt;0,I120&gt;0,J120&gt;0),"缺口／超額待處理","主崗齊；休息待現場")</x:f>
        <x:v>缺口／超額待處理</x:v>
      </x:c>
    </x:row>
    <x:row r="121" ht="42" customHeight="1">
      <x:c r="A121" s="12" t="n">
        <x:v>46318</x:v>
      </x:c>
      <x:c r="B121" s="13" t="n">
        <x:v>0.8125</x:v>
      </x:c>
      <x:c r="C121" s="13" t="n">
        <x:v>0.8333333333333334</x:v>
      </x:c>
      <x:c r="D121" s="2" t="str">
        <x:v>營運參考</x:v>
      </x:c>
      <x:c r="E121" s="2" t="n">
        <x:v>0</x:v>
      </x:c>
      <x:c r="F121" s="2"/>
      <x:c r="G121" s="2" t="n">
        <x:f>IF(AND('班次明細'!L10&gt;0,'班次明細'!G10&lt;=B121,'班次明細'!H10&gt;=C121),1,0)+IF(AND('班次明細'!L17&gt;0,'班次明細'!G17&lt;=B121,'班次明細'!H17&gt;=C121),1,0)+IF(AND('班次明細'!L24&gt;0,'班次明細'!G24&lt;=B121,'班次明細'!H24&gt;=C121),1,0)+IF(AND('班次明細'!L31&gt;0,'班次明細'!G31&lt;=B121,'班次明細'!H31&gt;=C121),1,0)+IF(AND('班次明細'!L38&gt;0,'班次明細'!G38&lt;=B121,'班次明細'!H38&gt;=C121),1,0)+IF(AND('班次明細'!L45&gt;0,'班次明細'!G45&lt;=B121,'班次明細'!H45&gt;=C121),1,0)+IF(AND('班次明細'!L52&gt;0,'班次明細'!G52&lt;=B121,'班次明細'!H52&gt;=C121),1,0)+IF(AND('班次明細'!L59&gt;0,'班次明細'!G59&lt;=B121,'班次明細'!H59&gt;=C121),1,0)+IF(AND('班次明細'!L66&gt;0,'班次明細'!G66&lt;=B121,'班次明細'!H66&gt;=C121),1,0)+IF(AND('班次明細'!L73&gt;0,'班次明細'!G73&lt;=B121,'班次明細'!H73&gt;=C121),1,0)+IF(AND('班次明細'!L80&gt;0,'班次明細'!G80&lt;=B121,'班次明細'!H80&gt;=C121),1,0)</x:f>
        <x:v>5</x:v>
      </x:c>
      <x:c r="H121" s="2" t="n">
        <x:f>MAX(0,E121-G121)</x:f>
        <x:v>0</x:v>
      </x:c>
      <x:c r="I121" s="2" t="n">
        <x:f>IF(F121="",0,MAX(0,G121-F121))</x:f>
        <x:v>0</x:v>
      </x:c>
      <x:c r="J121" s="2" t="n">
        <x:v>0</x:v>
      </x:c>
      <x:c r="K121" s="11" t="str">
        <x:v>—</x:v>
      </x:c>
      <x:c r="L121" s="11" t="str">
        <x:f>"營運參考"</x:f>
        <x:v>營運參考</x:v>
      </x:c>
    </x:row>
    <x:row r="122" ht="42" customHeight="1">
      <x:c r="A122" s="12" t="n">
        <x:v>46318</x:v>
      </x:c>
      <x:c r="B122" s="13" t="n">
        <x:v>0.8333333333333334</x:v>
      </x:c>
      <x:c r="C122" s="13" t="n">
        <x:v>0.8541666666666666</x:v>
      </x:c>
      <x:c r="D122" s="2" t="str">
        <x:v>營運參考</x:v>
      </x:c>
      <x:c r="E122" s="2" t="n">
        <x:v>0</x:v>
      </x:c>
      <x:c r="F122" s="2"/>
      <x:c r="G122" s="2" t="n">
        <x:f>IF(AND('班次明細'!L10&gt;0,'班次明細'!G10&lt;=B122,'班次明細'!H10&gt;=C122),1,0)+IF(AND('班次明細'!L17&gt;0,'班次明細'!G17&lt;=B122,'班次明細'!H17&gt;=C122),1,0)+IF(AND('班次明細'!L24&gt;0,'班次明細'!G24&lt;=B122,'班次明細'!H24&gt;=C122),1,0)+IF(AND('班次明細'!L31&gt;0,'班次明細'!G31&lt;=B122,'班次明細'!H31&gt;=C122),1,0)+IF(AND('班次明細'!L38&gt;0,'班次明細'!G38&lt;=B122,'班次明細'!H38&gt;=C122),1,0)+IF(AND('班次明細'!L45&gt;0,'班次明細'!G45&lt;=B122,'班次明細'!H45&gt;=C122),1,0)+IF(AND('班次明細'!L52&gt;0,'班次明細'!G52&lt;=B122,'班次明細'!H52&gt;=C122),1,0)+IF(AND('班次明細'!L59&gt;0,'班次明細'!G59&lt;=B122,'班次明細'!H59&gt;=C122),1,0)+IF(AND('班次明細'!L66&gt;0,'班次明細'!G66&lt;=B122,'班次明細'!H66&gt;=C122),1,0)+IF(AND('班次明細'!L73&gt;0,'班次明細'!G73&lt;=B122,'班次明細'!H73&gt;=C122),1,0)+IF(AND('班次明細'!L80&gt;0,'班次明細'!G80&lt;=B122,'班次明細'!H80&gt;=C122),1,0)</x:f>
        <x:v>5</x:v>
      </x:c>
      <x:c r="H122" s="2" t="n">
        <x:f>MAX(0,E122-G122)</x:f>
        <x:v>0</x:v>
      </x:c>
      <x:c r="I122" s="2" t="n">
        <x:f>IF(F122="",0,MAX(0,G122-F122))</x:f>
        <x:v>0</x:v>
      </x:c>
      <x:c r="J122" s="2" t="n">
        <x:v>0</x:v>
      </x:c>
      <x:c r="K122" s="11" t="str">
        <x:v>—</x:v>
      </x:c>
      <x:c r="L122" s="11" t="str">
        <x:f>"營運參考"</x:f>
        <x:v>營運參考</x:v>
      </x:c>
    </x:row>
    <x:row r="123" ht="42" customHeight="1">
      <x:c r="A123" s="12" t="n">
        <x:v>46318</x:v>
      </x:c>
      <x:c r="B123" s="13" t="n">
        <x:v>0.8541666666666666</x:v>
      </x:c>
      <x:c r="C123" s="13" t="n">
        <x:v>0.875</x:v>
      </x:c>
      <x:c r="D123" s="2" t="str">
        <x:v>營運參考</x:v>
      </x:c>
      <x:c r="E123" s="2" t="n">
        <x:v>0</x:v>
      </x:c>
      <x:c r="F123" s="2"/>
      <x:c r="G123" s="2" t="n">
        <x:f>IF(AND('班次明細'!L10&gt;0,'班次明細'!G10&lt;=B123,'班次明細'!H10&gt;=C123),1,0)+IF(AND('班次明細'!L17&gt;0,'班次明細'!G17&lt;=B123,'班次明細'!H17&gt;=C123),1,0)+IF(AND('班次明細'!L24&gt;0,'班次明細'!G24&lt;=B123,'班次明細'!H24&gt;=C123),1,0)+IF(AND('班次明細'!L31&gt;0,'班次明細'!G31&lt;=B123,'班次明細'!H31&gt;=C123),1,0)+IF(AND('班次明細'!L38&gt;0,'班次明細'!G38&lt;=B123,'班次明細'!H38&gt;=C123),1,0)+IF(AND('班次明細'!L45&gt;0,'班次明細'!G45&lt;=B123,'班次明細'!H45&gt;=C123),1,0)+IF(AND('班次明細'!L52&gt;0,'班次明細'!G52&lt;=B123,'班次明細'!H52&gt;=C123),1,0)+IF(AND('班次明細'!L59&gt;0,'班次明細'!G59&lt;=B123,'班次明細'!H59&gt;=C123),1,0)+IF(AND('班次明細'!L66&gt;0,'班次明細'!G66&lt;=B123,'班次明細'!H66&gt;=C123),1,0)+IF(AND('班次明細'!L73&gt;0,'班次明細'!G73&lt;=B123,'班次明細'!H73&gt;=C123),1,0)+IF(AND('班次明細'!L80&gt;0,'班次明細'!G80&lt;=B123,'班次明細'!H80&gt;=C123),1,0)</x:f>
        <x:v>5</x:v>
      </x:c>
      <x:c r="H123" s="2" t="n">
        <x:f>MAX(0,E123-G123)</x:f>
        <x:v>0</x:v>
      </x:c>
      <x:c r="I123" s="2" t="n">
        <x:f>IF(F123="",0,MAX(0,G123-F123))</x:f>
        <x:v>0</x:v>
      </x:c>
      <x:c r="J123" s="2" t="n">
        <x:v>0</x:v>
      </x:c>
      <x:c r="K123" s="11" t="str">
        <x:v>—</x:v>
      </x:c>
      <x:c r="L123" s="11" t="str">
        <x:f>"營運參考"</x:f>
        <x:v>營運參考</x:v>
      </x:c>
    </x:row>
    <x:row r="124" ht="42" customHeight="1">
      <x:c r="A124" s="12" t="n">
        <x:v>46318</x:v>
      </x:c>
      <x:c r="B124" s="13" t="n">
        <x:v>0.875</x:v>
      </x:c>
      <x:c r="C124" s="13" t="n">
        <x:v>0.8958333333333334</x:v>
      </x:c>
      <x:c r="D124" s="2" t="str">
        <x:v>營運參考</x:v>
      </x:c>
      <x:c r="E124" s="2" t="n">
        <x:v>0</x:v>
      </x:c>
      <x:c r="F124" s="2"/>
      <x:c r="G124" s="2" t="n">
        <x:f>IF(AND('班次明細'!L10&gt;0,'班次明細'!G10&lt;=B124,'班次明細'!H10&gt;=C124),1,0)+IF(AND('班次明細'!L17&gt;0,'班次明細'!G17&lt;=B124,'班次明細'!H17&gt;=C124),1,0)+IF(AND('班次明細'!L24&gt;0,'班次明細'!G24&lt;=B124,'班次明細'!H24&gt;=C124),1,0)+IF(AND('班次明細'!L31&gt;0,'班次明細'!G31&lt;=B124,'班次明細'!H31&gt;=C124),1,0)+IF(AND('班次明細'!L38&gt;0,'班次明細'!G38&lt;=B124,'班次明細'!H38&gt;=C124),1,0)+IF(AND('班次明細'!L45&gt;0,'班次明細'!G45&lt;=B124,'班次明細'!H45&gt;=C124),1,0)+IF(AND('班次明細'!L52&gt;0,'班次明細'!G52&lt;=B124,'班次明細'!H52&gt;=C124),1,0)+IF(AND('班次明細'!L59&gt;0,'班次明細'!G59&lt;=B124,'班次明細'!H59&gt;=C124),1,0)+IF(AND('班次明細'!L66&gt;0,'班次明細'!G66&lt;=B124,'班次明細'!H66&gt;=C124),1,0)+IF(AND('班次明細'!L73&gt;0,'班次明細'!G73&lt;=B124,'班次明細'!H73&gt;=C124),1,0)+IF(AND('班次明細'!L80&gt;0,'班次明細'!G80&lt;=B124,'班次明細'!H80&gt;=C124),1,0)</x:f>
        <x:v>4</x:v>
      </x:c>
      <x:c r="H124" s="2" t="n">
        <x:f>MAX(0,E124-G124)</x:f>
        <x:v>0</x:v>
      </x:c>
      <x:c r="I124" s="2" t="n">
        <x:f>IF(F124="",0,MAX(0,G124-F124))</x:f>
        <x:v>0</x:v>
      </x:c>
      <x:c r="J124" s="2" t="n">
        <x:v>0</x:v>
      </x:c>
      <x:c r="K124" s="11" t="str">
        <x:v>—</x:v>
      </x:c>
      <x:c r="L124" s="11" t="str">
        <x:f>"營運參考"</x:f>
        <x:v>營運參考</x:v>
      </x:c>
    </x:row>
    <x:row r="125" ht="42" customHeight="1">
      <x:c r="A125" s="12" t="n">
        <x:v>46318</x:v>
      </x:c>
      <x:c r="B125" s="13" t="n">
        <x:v>0.8958333333333334</x:v>
      </x:c>
      <x:c r="C125" s="13" t="n">
        <x:v>0.9166666666666666</x:v>
      </x:c>
      <x:c r="D125" s="2" t="str">
        <x:v>營運參考</x:v>
      </x:c>
      <x:c r="E125" s="2" t="n">
        <x:v>0</x:v>
      </x:c>
      <x:c r="F125" s="2"/>
      <x:c r="G125" s="2" t="n">
        <x:f>IF(AND('班次明細'!L10&gt;0,'班次明細'!G10&lt;=B125,'班次明細'!H10&gt;=C125),1,0)+IF(AND('班次明細'!L17&gt;0,'班次明細'!G17&lt;=B125,'班次明細'!H17&gt;=C125),1,0)+IF(AND('班次明細'!L24&gt;0,'班次明細'!G24&lt;=B125,'班次明細'!H24&gt;=C125),1,0)+IF(AND('班次明細'!L31&gt;0,'班次明細'!G31&lt;=B125,'班次明細'!H31&gt;=C125),1,0)+IF(AND('班次明細'!L38&gt;0,'班次明細'!G38&lt;=B125,'班次明細'!H38&gt;=C125),1,0)+IF(AND('班次明細'!L45&gt;0,'班次明細'!G45&lt;=B125,'班次明細'!H45&gt;=C125),1,0)+IF(AND('班次明細'!L52&gt;0,'班次明細'!G52&lt;=B125,'班次明細'!H52&gt;=C125),1,0)+IF(AND('班次明細'!L59&gt;0,'班次明細'!G59&lt;=B125,'班次明細'!H59&gt;=C125),1,0)+IF(AND('班次明細'!L66&gt;0,'班次明細'!G66&lt;=B125,'班次明細'!H66&gt;=C125),1,0)+IF(AND('班次明細'!L73&gt;0,'班次明細'!G73&lt;=B125,'班次明細'!H73&gt;=C125),1,0)+IF(AND('班次明細'!L80&gt;0,'班次明細'!G80&lt;=B125,'班次明細'!H80&gt;=C125),1,0)</x:f>
        <x:v>1</x:v>
      </x:c>
      <x:c r="H125" s="2" t="n">
        <x:f>MAX(0,E125-G125)</x:f>
        <x:v>0</x:v>
      </x:c>
      <x:c r="I125" s="2" t="n">
        <x:f>IF(F125="",0,MAX(0,G125-F125))</x:f>
        <x:v>0</x:v>
      </x:c>
      <x:c r="J125" s="2" t="n">
        <x:v>0</x:v>
      </x:c>
      <x:c r="K125" s="11" t="str">
        <x:v>—</x:v>
      </x:c>
      <x:c r="L125" s="11" t="str">
        <x:f>"營運參考"</x:f>
        <x:v>營運參考</x:v>
      </x:c>
    </x:row>
    <x:row r="126" ht="42" customHeight="1">
      <x:c r="A126" s="12" t="n">
        <x:v>46319</x:v>
      </x:c>
      <x:c r="B126" s="13" t="n">
        <x:v>0.4166666666666667</x:v>
      </x:c>
      <x:c r="C126" s="13" t="n">
        <x:v>0.4375</x:v>
      </x:c>
      <x:c r="D126" s="2" t="str">
        <x:v>營運參考</x:v>
      </x:c>
      <x:c r="E126" s="2" t="n">
        <x:v>1</x:v>
      </x:c>
      <x:c r="F126" s="2"/>
      <x:c r="G126" s="2" t="n">
        <x:f>IF(AND('班次明細'!L11&gt;0,'班次明細'!G11&lt;=B126,'班次明細'!H11&gt;=C126),1,0)+IF(AND('班次明細'!L18&gt;0,'班次明細'!G18&lt;=B126,'班次明細'!H18&gt;=C126),1,0)+IF(AND('班次明細'!L25&gt;0,'班次明細'!G25&lt;=B126,'班次明細'!H25&gt;=C126),1,0)+IF(AND('班次明細'!L32&gt;0,'班次明細'!G32&lt;=B126,'班次明細'!H32&gt;=C126),1,0)+IF(AND('班次明細'!L39&gt;0,'班次明細'!G39&lt;=B126,'班次明細'!H39&gt;=C126),1,0)+IF(AND('班次明細'!L46&gt;0,'班次明細'!G46&lt;=B126,'班次明細'!H46&gt;=C126),1,0)+IF(AND('班次明細'!L53&gt;0,'班次明細'!G53&lt;=B126,'班次明細'!H53&gt;=C126),1,0)+IF(AND('班次明細'!L60&gt;0,'班次明細'!G60&lt;=B126,'班次明細'!H60&gt;=C126),1,0)+IF(AND('班次明細'!L67&gt;0,'班次明細'!G67&lt;=B126,'班次明細'!H67&gt;=C126),1,0)+IF(AND('班次明細'!L74&gt;0,'班次明細'!G74&lt;=B126,'班次明細'!H74&gt;=C126),1,0)+IF(AND('班次明細'!L81&gt;0,'班次明細'!G81&lt;=B126,'班次明細'!H81&gt;=C126),1,0)</x:f>
        <x:v>1</x:v>
      </x:c>
      <x:c r="H126" s="2" t="n">
        <x:f>MAX(0,E126-G126)</x:f>
        <x:v>0</x:v>
      </x:c>
      <x:c r="I126" s="2" t="n">
        <x:f>IF(F126="",0,MAX(0,G126-F126))</x:f>
        <x:v>0</x:v>
      </x:c>
      <x:c r="J126" s="2" t="n">
        <x:v>0</x:v>
      </x:c>
      <x:c r="K126" s="11" t="str">
        <x:v>—</x:v>
      </x:c>
      <x:c r="L126" s="11" t="str">
        <x:f>"營運參考"</x:f>
        <x:v>營運參考</x:v>
      </x:c>
    </x:row>
    <x:row r="127" ht="42" customHeight="1">
      <x:c r="A127" s="12" t="n">
        <x:v>46319</x:v>
      </x:c>
      <x:c r="B127" s="13" t="n">
        <x:v>0.4375</x:v>
      </x:c>
      <x:c r="C127" s="13" t="n">
        <x:v>0.4583333333333333</x:v>
      </x:c>
      <x:c r="D127" s="2" t="str">
        <x:v>營運參考</x:v>
      </x:c>
      <x:c r="E127" s="2" t="n">
        <x:v>1</x:v>
      </x:c>
      <x:c r="F127" s="2"/>
      <x:c r="G127" s="2" t="n">
        <x:f>IF(AND('班次明細'!L11&gt;0,'班次明細'!G11&lt;=B127,'班次明細'!H11&gt;=C127),1,0)+IF(AND('班次明細'!L18&gt;0,'班次明細'!G18&lt;=B127,'班次明細'!H18&gt;=C127),1,0)+IF(AND('班次明細'!L25&gt;0,'班次明細'!G25&lt;=B127,'班次明細'!H25&gt;=C127),1,0)+IF(AND('班次明細'!L32&gt;0,'班次明細'!G32&lt;=B127,'班次明細'!H32&gt;=C127),1,0)+IF(AND('班次明細'!L39&gt;0,'班次明細'!G39&lt;=B127,'班次明細'!H39&gt;=C127),1,0)+IF(AND('班次明細'!L46&gt;0,'班次明細'!G46&lt;=B127,'班次明細'!H46&gt;=C127),1,0)+IF(AND('班次明細'!L53&gt;0,'班次明細'!G53&lt;=B127,'班次明細'!H53&gt;=C127),1,0)+IF(AND('班次明細'!L60&gt;0,'班次明細'!G60&lt;=B127,'班次明細'!H60&gt;=C127),1,0)+IF(AND('班次明細'!L67&gt;0,'班次明細'!G67&lt;=B127,'班次明細'!H67&gt;=C127),1,0)+IF(AND('班次明細'!L74&gt;0,'班次明細'!G74&lt;=B127,'班次明細'!H74&gt;=C127),1,0)+IF(AND('班次明細'!L81&gt;0,'班次明細'!G81&lt;=B127,'班次明細'!H81&gt;=C127),1,0)</x:f>
        <x:v>1</x:v>
      </x:c>
      <x:c r="H127" s="2" t="n">
        <x:f>MAX(0,E127-G127)</x:f>
        <x:v>0</x:v>
      </x:c>
      <x:c r="I127" s="2" t="n">
        <x:f>IF(F127="",0,MAX(0,G127-F127))</x:f>
        <x:v>0</x:v>
      </x:c>
      <x:c r="J127" s="2" t="n">
        <x:v>0</x:v>
      </x:c>
      <x:c r="K127" s="11" t="str">
        <x:v>—</x:v>
      </x:c>
      <x:c r="L127" s="11" t="str">
        <x:f>"營運參考"</x:f>
        <x:v>營運參考</x:v>
      </x:c>
    </x:row>
    <x:row r="128" ht="42" customHeight="1">
      <x:c r="A128" s="12" t="n">
        <x:v>46319</x:v>
      </x:c>
      <x:c r="B128" s="13" t="n">
        <x:v>0.4583333333333333</x:v>
      </x:c>
      <x:c r="C128" s="13" t="n">
        <x:v>0.4791666666666667</x:v>
      </x:c>
      <x:c r="D128" s="2" t="str">
        <x:v>營運參考</x:v>
      </x:c>
      <x:c r="E128" s="2" t="n">
        <x:v>0</x:v>
      </x:c>
      <x:c r="F128" s="2"/>
      <x:c r="G128" s="2" t="n">
        <x:f>IF(AND('班次明細'!L11&gt;0,'班次明細'!G11&lt;=B128,'班次明細'!H11&gt;=C128),1,0)+IF(AND('班次明細'!L18&gt;0,'班次明細'!G18&lt;=B128,'班次明細'!H18&gt;=C128),1,0)+IF(AND('班次明細'!L25&gt;0,'班次明細'!G25&lt;=B128,'班次明細'!H25&gt;=C128),1,0)+IF(AND('班次明細'!L32&gt;0,'班次明細'!G32&lt;=B128,'班次明細'!H32&gt;=C128),1,0)+IF(AND('班次明細'!L39&gt;0,'班次明細'!G39&lt;=B128,'班次明細'!H39&gt;=C128),1,0)+IF(AND('班次明細'!L46&gt;0,'班次明細'!G46&lt;=B128,'班次明細'!H46&gt;=C128),1,0)+IF(AND('班次明細'!L53&gt;0,'班次明細'!G53&lt;=B128,'班次明細'!H53&gt;=C128),1,0)+IF(AND('班次明細'!L60&gt;0,'班次明細'!G60&lt;=B128,'班次明細'!H60&gt;=C128),1,0)+IF(AND('班次明細'!L67&gt;0,'班次明細'!G67&lt;=B128,'班次明細'!H67&gt;=C128),1,0)+IF(AND('班次明細'!L74&gt;0,'班次明細'!G74&lt;=B128,'班次明細'!H74&gt;=C128),1,0)+IF(AND('班次明細'!L81&gt;0,'班次明細'!G81&lt;=B128,'班次明細'!H81&gt;=C128),1,0)</x:f>
        <x:v>3</x:v>
      </x:c>
      <x:c r="H128" s="2" t="n">
        <x:f>MAX(0,E128-G128)</x:f>
        <x:v>0</x:v>
      </x:c>
      <x:c r="I128" s="2" t="n">
        <x:f>IF(F128="",0,MAX(0,G128-F128))</x:f>
        <x:v>0</x:v>
      </x:c>
      <x:c r="J128" s="2" t="n">
        <x:v>0</x:v>
      </x:c>
      <x:c r="K128" s="11" t="str">
        <x:v>—</x:v>
      </x:c>
      <x:c r="L128" s="11" t="str">
        <x:f>"營運參考"</x:f>
        <x:v>營運參考</x:v>
      </x:c>
    </x:row>
    <x:row r="129" ht="42" customHeight="1">
      <x:c r="A129" s="12" t="n">
        <x:v>46319</x:v>
      </x:c>
      <x:c r="B129" s="13" t="n">
        <x:v>0.4791666666666667</x:v>
      </x:c>
      <x:c r="C129" s="13" t="n">
        <x:v>0.5</x:v>
      </x:c>
      <x:c r="D129" s="2" t="str">
        <x:v>午餐主崗</x:v>
      </x:c>
      <x:c r="E129" s="2" t="n">
        <x:v>6</x:v>
      </x:c>
      <x:c r="F129" s="2" t="n">
        <x:v>7</x:v>
      </x:c>
      <x:c r="G129" s="2" t="n">
        <x:f>IF(AND('班次明細'!L11&gt;0,'班次明細'!G11&lt;=B129,'班次明細'!H11&gt;=C129),1,0)+IF(AND('班次明細'!L18&gt;0,'班次明細'!G18&lt;=B129,'班次明細'!H18&gt;=C129),1,0)+IF(AND('班次明細'!L25&gt;0,'班次明細'!G25&lt;=B129,'班次明細'!H25&gt;=C129),1,0)+IF(AND('班次明細'!L32&gt;0,'班次明細'!G32&lt;=B129,'班次明細'!H32&gt;=C129),1,0)+IF(AND('班次明細'!L39&gt;0,'班次明細'!G39&lt;=B129,'班次明細'!H39&gt;=C129),1,0)+IF(AND('班次明細'!L46&gt;0,'班次明細'!G46&lt;=B129,'班次明細'!H46&gt;=C129),1,0)+IF(AND('班次明細'!L53&gt;0,'班次明細'!G53&lt;=B129,'班次明細'!H53&gt;=C129),1,0)+IF(AND('班次明細'!L60&gt;0,'班次明細'!G60&lt;=B129,'班次明細'!H60&gt;=C129),1,0)+IF(AND('班次明細'!L67&gt;0,'班次明細'!G67&lt;=B129,'班次明細'!H67&gt;=C129),1,0)+IF(AND('班次明細'!L74&gt;0,'班次明細'!G74&lt;=B129,'班次明細'!H74&gt;=C129),1,0)+IF(AND('班次明細'!L81&gt;0,'班次明細'!G81&lt;=B129,'班次明細'!H81&gt;=C129),1,0)</x:f>
        <x:v>6</x:v>
      </x:c>
      <x:c r="H129" s="2" t="n">
        <x:f>MAX(0,E129-G129)</x:f>
        <x:v>0</x:v>
      </x:c>
      <x:c r="I129" s="2" t="n">
        <x:f>IF(F129="",0,MAX(0,G129-F129))</x:f>
        <x:v>0</x:v>
      </x:c>
      <x:c r="J129" s="2" t="n">
        <x:f>IF((IF(LEFT('班次明細'!O11,2)="外場",IF(AND('班次明細'!L11&gt;0,'班次明細'!G11&lt;=B129,'班次明細'!H11&gt;=C129),1,0),0)+IF(LEFT('班次明細'!O18,2)="外場",IF(AND('班次明細'!L18&gt;0,'班次明細'!G18&lt;=B129,'班次明細'!H18&gt;=C129),1,0),0)+IF(LEFT('班次明細'!O25,2)="外場",IF(AND('班次明細'!L25&gt;0,'班次明細'!G25&lt;=B129,'班次明細'!H25&gt;=C129),1,0),0)+IF(LEFT('班次明細'!O32,2)="外場",IF(AND('班次明細'!L32&gt;0,'班次明細'!G32&lt;=B129,'班次明細'!H32&gt;=C129),1,0),0)+IF(LEFT('班次明細'!O39,2)="外場",IF(AND('班次明細'!L39&gt;0,'班次明細'!G39&lt;=B129,'班次明細'!H39&gt;=C129),1,0),0)+IF(LEFT('班次明細'!O46,2)="外場",IF(AND('班次明細'!L46&gt;0,'班次明細'!G46&lt;=B129,'班次明細'!H46&gt;=C129),1,0),0)+IF(LEFT('班次明細'!O53,2)="外場",IF(AND('班次明細'!L53&gt;0,'班次明細'!G53&lt;=B129,'班次明細'!H53&gt;=C129),1,0),0)+IF(LEFT('班次明細'!O60,2)="外場",IF(AND('班次明細'!L60&gt;0,'班次明細'!G60&lt;=B129,'班次明細'!H60&gt;=C129),1,0),0)+IF(LEFT('班次明細'!O67,2)="外場",IF(AND('班次明細'!L67&gt;0,'班次明細'!G67&lt;=B129,'班次明細'!H67&gt;=C129),1,0),0)+IF(LEFT('班次明細'!O74,2)="外場",IF(AND('班次明細'!L74&gt;0,'班次明細'!G74&lt;=B129,'班次明細'!H74&gt;=C129),1,0),0)+IF(LEFT('班次明細'!O81,2)="外場",IF(AND('班次明細'!L81&gt;0,'班次明細'!G81&lt;=B129,'班次明細'!H81&gt;=C129),1,0),0))&gt;0,0,1)+IF((IF(LEFT('班次明細'!O11,2)="吧台",IF(AND('班次明細'!L11&gt;0,'班次明細'!G11&lt;=B129,'班次明細'!H11&gt;=C129),1,0),0)+IF(LEFT('班次明細'!O18,2)="吧台",IF(AND('班次明細'!L18&gt;0,'班次明細'!G18&lt;=B129,'班次明細'!H18&gt;=C129),1,0),0)+IF(LEFT('班次明細'!O25,2)="吧台",IF(AND('班次明細'!L25&gt;0,'班次明細'!G25&lt;=B129,'班次明細'!H25&gt;=C129),1,0),0)+IF(LEFT('班次明細'!O32,2)="吧台",IF(AND('班次明細'!L32&gt;0,'班次明細'!G32&lt;=B129,'班次明細'!H32&gt;=C129),1,0),0)+IF(LEFT('班次明細'!O39,2)="吧台",IF(AND('班次明細'!L39&gt;0,'班次明細'!G39&lt;=B129,'班次明細'!H39&gt;=C129),1,0),0)+IF(LEFT('班次明細'!O46,2)="吧台",IF(AND('班次明細'!L46&gt;0,'班次明細'!G46&lt;=B129,'班次明細'!H46&gt;=C129),1,0),0)+IF(LEFT('班次明細'!O53,2)="吧台",IF(AND('班次明細'!L53&gt;0,'班次明細'!G53&lt;=B129,'班次明細'!H53&gt;=C129),1,0),0)+IF(LEFT('班次明細'!O60,2)="吧台",IF(AND('班次明細'!L60&gt;0,'班次明細'!G60&lt;=B129,'班次明細'!H60&gt;=C129),1,0),0)+IF(LEFT('班次明細'!O67,2)="吧台",IF(AND('班次明細'!L67&gt;0,'班次明細'!G67&lt;=B129,'班次明細'!H67&gt;=C129),1,0),0)+IF(LEFT('班次明細'!O74,2)="吧台",IF(AND('班次明細'!L74&gt;0,'班次明細'!G74&lt;=B129,'班次明細'!H74&gt;=C129),1,0),0)+IF(LEFT('班次明細'!O81,2)="吧台",IF(AND('班次明細'!L81&gt;0,'班次明細'!G81&lt;=B129,'班次明細'!H81&gt;=C129),1,0),0))&gt;0,0,1)+IF((IF(LEFT('班次明細'!O11,2)="司爐",IF(AND('班次明細'!L11&gt;0,'班次明細'!G11&lt;=B129,'班次明細'!H11&gt;=C129),1,0),0)+IF(LEFT('班次明細'!O18,2)="司爐",IF(AND('班次明細'!L18&gt;0,'班次明細'!G18&lt;=B129,'班次明細'!H18&gt;=C129),1,0),0)+IF(LEFT('班次明細'!O25,2)="司爐",IF(AND('班次明細'!L25&gt;0,'班次明細'!G25&lt;=B129,'班次明細'!H25&gt;=C129),1,0),0)+IF(LEFT('班次明細'!O32,2)="司爐",IF(AND('班次明細'!L32&gt;0,'班次明細'!G32&lt;=B129,'班次明細'!H32&gt;=C129),1,0),0)+IF(LEFT('班次明細'!O39,2)="司爐",IF(AND('班次明細'!L39&gt;0,'班次明細'!G39&lt;=B129,'班次明細'!H39&gt;=C129),1,0),0)+IF(LEFT('班次明細'!O46,2)="司爐",IF(AND('班次明細'!L46&gt;0,'班次明細'!G46&lt;=B129,'班次明細'!H46&gt;=C129),1,0),0)+IF(LEFT('班次明細'!O53,2)="司爐",IF(AND('班次明細'!L53&gt;0,'班次明細'!G53&lt;=B129,'班次明細'!H53&gt;=C129),1,0),0)+IF(LEFT('班次明細'!O60,2)="司爐",IF(AND('班次明細'!L60&gt;0,'班次明細'!G60&lt;=B129,'班次明細'!H60&gt;=C129),1,0),0)+IF(LEFT('班次明細'!O67,2)="司爐",IF(AND('班次明細'!L67&gt;0,'班次明細'!G67&lt;=B129,'班次明細'!H67&gt;=C129),1,0),0)+IF(LEFT('班次明細'!O74,2)="司爐",IF(AND('班次明細'!L74&gt;0,'班次明細'!G74&lt;=B129,'班次明細'!H74&gt;=C129),1,0),0)+IF(LEFT('班次明細'!O81,2)="司爐",IF(AND('班次明細'!L81&gt;0,'班次明細'!G81&lt;=B129,'班次明細'!H81&gt;=C129),1,0),0))&gt;0,0,1)+IF((IF(LEFT('班次明細'!O11,2)="料區",IF(AND('班次明細'!L11&gt;0,'班次明細'!G11&lt;=B129,'班次明細'!H11&gt;=C129),1,0),0)+IF(LEFT('班次明細'!O18,2)="料區",IF(AND('班次明細'!L18&gt;0,'班次明細'!G18&lt;=B129,'班次明細'!H18&gt;=C129),1,0),0)+IF(LEFT('班次明細'!O25,2)="料區",IF(AND('班次明細'!L25&gt;0,'班次明細'!G25&lt;=B129,'班次明細'!H25&gt;=C129),1,0),0)+IF(LEFT('班次明細'!O32,2)="料區",IF(AND('班次明細'!L32&gt;0,'班次明細'!G32&lt;=B129,'班次明細'!H32&gt;=C129),1,0),0)+IF(LEFT('班次明細'!O39,2)="料區",IF(AND('班次明細'!L39&gt;0,'班次明細'!G39&lt;=B129,'班次明細'!H39&gt;=C129),1,0),0)+IF(LEFT('班次明細'!O46,2)="料區",IF(AND('班次明細'!L46&gt;0,'班次明細'!G46&lt;=B129,'班次明細'!H46&gt;=C129),1,0),0)+IF(LEFT('班次明細'!O53,2)="料區",IF(AND('班次明細'!L53&gt;0,'班次明細'!G53&lt;=B129,'班次明細'!H53&gt;=C129),1,0),0)+IF(LEFT('班次明細'!O60,2)="料區",IF(AND('班次明細'!L60&gt;0,'班次明細'!G60&lt;=B129,'班次明細'!H60&gt;=C129),1,0),0)+IF(LEFT('班次明細'!O67,2)="料區",IF(AND('班次明細'!L67&gt;0,'班次明細'!G67&lt;=B129,'班次明細'!H67&gt;=C129),1,0),0)+IF(LEFT('班次明細'!O74,2)="料區",IF(AND('班次明細'!L74&gt;0,'班次明細'!G74&lt;=B129,'班次明細'!H74&gt;=C129),1,0),0)+IF(LEFT('班次明細'!O81,2)="料區",IF(AND('班次明細'!L81&gt;0,'班次明細'!G81&lt;=B129,'班次明細'!H81&gt;=C129),1,0),0))&gt;0,0,1)+IF((IF(LEFT('班次明細'!O11,2)="炸區",IF(AND('班次明細'!L11&gt;0,'班次明細'!G11&lt;=B129,'班次明細'!H11&gt;=C129),1,0),0)+IF(LEFT('班次明細'!O18,2)="炸區",IF(AND('班次明細'!L18&gt;0,'班次明細'!G18&lt;=B129,'班次明細'!H18&gt;=C129),1,0),0)+IF(LEFT('班次明細'!O25,2)="炸區",IF(AND('班次明細'!L25&gt;0,'班次明細'!G25&lt;=B129,'班次明細'!H25&gt;=C129),1,0),0)+IF(LEFT('班次明細'!O32,2)="炸區",IF(AND('班次明細'!L32&gt;0,'班次明細'!G32&lt;=B129,'班次明細'!H32&gt;=C129),1,0),0)+IF(LEFT('班次明細'!O39,2)="炸區",IF(AND('班次明細'!L39&gt;0,'班次明細'!G39&lt;=B129,'班次明細'!H39&gt;=C129),1,0),0)+IF(LEFT('班次明細'!O46,2)="炸區",IF(AND('班次明細'!L46&gt;0,'班次明細'!G46&lt;=B129,'班次明細'!H46&gt;=C129),1,0),0)+IF(LEFT('班次明細'!O53,2)="炸區",IF(AND('班次明細'!L53&gt;0,'班次明細'!G53&lt;=B129,'班次明細'!H53&gt;=C129),1,0),0)+IF(LEFT('班次明細'!O60,2)="炸區",IF(AND('班次明細'!L60&gt;0,'班次明細'!G60&lt;=B129,'班次明細'!H60&gt;=C129),1,0),0)+IF(LEFT('班次明細'!O67,2)="炸區",IF(AND('班次明細'!L67&gt;0,'班次明細'!G67&lt;=B129,'班次明細'!H67&gt;=C129),1,0),0)+IF(LEFT('班次明細'!O74,2)="炸區",IF(AND('班次明細'!L74&gt;0,'班次明細'!G74&lt;=B129,'班次明細'!H74&gt;=C129),1,0),0)+IF(LEFT('班次明細'!O81,2)="炸區",IF(AND('班次明細'!L81&gt;0,'班次明細'!G81&lt;=B129,'班次明細'!H81&gt;=C129),1,0),0))&gt;0,0,1)+IF((IF(LEFT('班次明細'!O11,2)="拍區",IF(AND('班次明細'!L11&gt;0,'班次明細'!G11&lt;=B129,'班次明細'!H11&gt;=C129),1,0),0)+IF(LEFT('班次明細'!O18,2)="拍區",IF(AND('班次明細'!L18&gt;0,'班次明細'!G18&lt;=B129,'班次明細'!H18&gt;=C129),1,0),0)+IF(LEFT('班次明細'!O25,2)="拍區",IF(AND('班次明細'!L25&gt;0,'班次明細'!G25&lt;=B129,'班次明細'!H25&gt;=C129),1,0),0)+IF(LEFT('班次明細'!O32,2)="拍區",IF(AND('班次明細'!L32&gt;0,'班次明細'!G32&lt;=B129,'班次明細'!H32&gt;=C129),1,0),0)+IF(LEFT('班次明細'!O39,2)="拍區",IF(AND('班次明細'!L39&gt;0,'班次明細'!G39&lt;=B129,'班次明細'!H39&gt;=C129),1,0),0)+IF(LEFT('班次明細'!O46,2)="拍區",IF(AND('班次明細'!L46&gt;0,'班次明細'!G46&lt;=B129,'班次明細'!H46&gt;=C129),1,0),0)+IF(LEFT('班次明細'!O53,2)="拍區",IF(AND('班次明細'!L53&gt;0,'班次明細'!G53&lt;=B129,'班次明細'!H53&gt;=C129),1,0),0)+IF(LEFT('班次明細'!O60,2)="拍區",IF(AND('班次明細'!L60&gt;0,'班次明細'!G60&lt;=B129,'班次明細'!H60&gt;=C129),1,0),0)+IF(LEFT('班次明細'!O67,2)="拍區",IF(AND('班次明細'!L67&gt;0,'班次明細'!G67&lt;=B129,'班次明細'!H67&gt;=C129),1,0),0)+IF(LEFT('班次明細'!O74,2)="拍區",IF(AND('班次明細'!L74&gt;0,'班次明細'!G74&lt;=B129,'班次明細'!H74&gt;=C129),1,0),0)+IF(LEFT('班次明細'!O81,2)="拍區",IF(AND('班次明細'!L81&gt;0,'班次明細'!G81&lt;=B129,'班次明細'!H81&gt;=C129),1,0),0))&gt;0,0,1)+IF(G129&lt;7,0,IF((IF(LEFT('班次明細'!O11,2)="控場",IF(AND('班次明細'!L11&gt;0,'班次明細'!G11&lt;=B129,'班次明細'!H11&gt;=C129),1,0),0)+IF(LEFT('班次明細'!O18,2)="控場",IF(AND('班次明細'!L18&gt;0,'班次明細'!G18&lt;=B129,'班次明細'!H18&gt;=C129),1,0),0)+IF(LEFT('班次明細'!O25,2)="控場",IF(AND('班次明細'!L25&gt;0,'班次明細'!G25&lt;=B129,'班次明細'!H25&gt;=C129),1,0),0)+IF(LEFT('班次明細'!O32,2)="控場",IF(AND('班次明細'!L32&gt;0,'班次明細'!G32&lt;=B129,'班次明細'!H32&gt;=C129),1,0),0)+IF(LEFT('班次明細'!O39,2)="控場",IF(AND('班次明細'!L39&gt;0,'班次明細'!G39&lt;=B129,'班次明細'!H39&gt;=C129),1,0),0)+IF(LEFT('班次明細'!O46,2)="控場",IF(AND('班次明細'!L46&gt;0,'班次明細'!G46&lt;=B129,'班次明細'!H46&gt;=C129),1,0),0)+IF(LEFT('班次明細'!O53,2)="控場",IF(AND('班次明細'!L53&gt;0,'班次明細'!G53&lt;=B129,'班次明細'!H53&gt;=C129),1,0),0)+IF(LEFT('班次明細'!O60,2)="控場",IF(AND('班次明細'!L60&gt;0,'班次明細'!G60&lt;=B129,'班次明細'!H60&gt;=C129),1,0),0)+IF(LEFT('班次明細'!O67,2)="控場",IF(AND('班次明細'!L67&gt;0,'班次明細'!G67&lt;=B129,'班次明細'!H67&gt;=C129),1,0),0)+IF(LEFT('班次明細'!O74,2)="控場",IF(AND('班次明細'!L74&gt;0,'班次明細'!G74&lt;=B129,'班次明細'!H74&gt;=C129),1,0),0)+IF(LEFT('班次明細'!O81,2)="控場",IF(AND('班次明細'!L81&gt;0,'班次明細'!G81&lt;=B129,'班次明細'!H81&gt;=C129),1,0),0))&gt;0,0,1))</x:f>
        <x:v>1</x:v>
      </x:c>
      <x:c r="K129" s="11" t="str">
        <x:v>P01:外場；P03:吧台；P04:控場；P05:炸區；P06:料區；P09:拍區；P10:司爐</x:v>
      </x:c>
      <x:c r="L129" s="11" t="str">
        <x:f>IF(OR(H129&gt;0,I129&gt;0,J129&gt;0),"缺口／超額待處理","主崗齊；休息待現場")</x:f>
        <x:v>缺口／超額待處理</x:v>
      </x:c>
    </x:row>
    <x:row r="130" ht="42" customHeight="1">
      <x:c r="A130" s="12" t="n">
        <x:v>46319</x:v>
      </x:c>
      <x:c r="B130" s="13" t="n">
        <x:v>0.5</x:v>
      </x:c>
      <x:c r="C130" s="13" t="n">
        <x:v>0.5208333333333334</x:v>
      </x:c>
      <x:c r="D130" s="2" t="str">
        <x:v>午餐主崗</x:v>
      </x:c>
      <x:c r="E130" s="2" t="n">
        <x:v>6</x:v>
      </x:c>
      <x:c r="F130" s="2" t="n">
        <x:v>7</x:v>
      </x:c>
      <x:c r="G130" s="2" t="n">
        <x:f>IF(AND('班次明細'!L11&gt;0,'班次明細'!G11&lt;=B130,'班次明細'!H11&gt;=C130),1,0)+IF(AND('班次明細'!L18&gt;0,'班次明細'!G18&lt;=B130,'班次明細'!H18&gt;=C130),1,0)+IF(AND('班次明細'!L25&gt;0,'班次明細'!G25&lt;=B130,'班次明細'!H25&gt;=C130),1,0)+IF(AND('班次明細'!L32&gt;0,'班次明細'!G32&lt;=B130,'班次明細'!H32&gt;=C130),1,0)+IF(AND('班次明細'!L39&gt;0,'班次明細'!G39&lt;=B130,'班次明細'!H39&gt;=C130),1,0)+IF(AND('班次明細'!L46&gt;0,'班次明細'!G46&lt;=B130,'班次明細'!H46&gt;=C130),1,0)+IF(AND('班次明細'!L53&gt;0,'班次明細'!G53&lt;=B130,'班次明細'!H53&gt;=C130),1,0)+IF(AND('班次明細'!L60&gt;0,'班次明細'!G60&lt;=B130,'班次明細'!H60&gt;=C130),1,0)+IF(AND('班次明細'!L67&gt;0,'班次明細'!G67&lt;=B130,'班次明細'!H67&gt;=C130),1,0)+IF(AND('班次明細'!L74&gt;0,'班次明細'!G74&lt;=B130,'班次明細'!H74&gt;=C130),1,0)+IF(AND('班次明細'!L81&gt;0,'班次明細'!G81&lt;=B130,'班次明細'!H81&gt;=C130),1,0)</x:f>
        <x:v>7</x:v>
      </x:c>
      <x:c r="H130" s="2" t="n">
        <x:f>MAX(0,E130-G130)</x:f>
        <x:v>0</x:v>
      </x:c>
      <x:c r="I130" s="2" t="n">
        <x:f>IF(F130="",0,MAX(0,G130-F130))</x:f>
        <x:v>0</x:v>
      </x:c>
      <x:c r="J130" s="2" t="n">
        <x:f>IF((IF(LEFT('班次明細'!O11,2)="外場",IF(AND('班次明細'!L11&gt;0,'班次明細'!G11&lt;=B130,'班次明細'!H11&gt;=C130),1,0),0)+IF(LEFT('班次明細'!O18,2)="外場",IF(AND('班次明細'!L18&gt;0,'班次明細'!G18&lt;=B130,'班次明細'!H18&gt;=C130),1,0),0)+IF(LEFT('班次明細'!O25,2)="外場",IF(AND('班次明細'!L25&gt;0,'班次明細'!G25&lt;=B130,'班次明細'!H25&gt;=C130),1,0),0)+IF(LEFT('班次明細'!O32,2)="外場",IF(AND('班次明細'!L32&gt;0,'班次明細'!G32&lt;=B130,'班次明細'!H32&gt;=C130),1,0),0)+IF(LEFT('班次明細'!O39,2)="外場",IF(AND('班次明細'!L39&gt;0,'班次明細'!G39&lt;=B130,'班次明細'!H39&gt;=C130),1,0),0)+IF(LEFT('班次明細'!O46,2)="外場",IF(AND('班次明細'!L46&gt;0,'班次明細'!G46&lt;=B130,'班次明細'!H46&gt;=C130),1,0),0)+IF(LEFT('班次明細'!O53,2)="外場",IF(AND('班次明細'!L53&gt;0,'班次明細'!G53&lt;=B130,'班次明細'!H53&gt;=C130),1,0),0)+IF(LEFT('班次明細'!O60,2)="外場",IF(AND('班次明細'!L60&gt;0,'班次明細'!G60&lt;=B130,'班次明細'!H60&gt;=C130),1,0),0)+IF(LEFT('班次明細'!O67,2)="外場",IF(AND('班次明細'!L67&gt;0,'班次明細'!G67&lt;=B130,'班次明細'!H67&gt;=C130),1,0),0)+IF(LEFT('班次明細'!O74,2)="外場",IF(AND('班次明細'!L74&gt;0,'班次明細'!G74&lt;=B130,'班次明細'!H74&gt;=C130),1,0),0)+IF(LEFT('班次明細'!O81,2)="外場",IF(AND('班次明細'!L81&gt;0,'班次明細'!G81&lt;=B130,'班次明細'!H81&gt;=C130),1,0),0))&gt;0,0,1)+IF((IF(LEFT('班次明細'!O11,2)="吧台",IF(AND('班次明細'!L11&gt;0,'班次明細'!G11&lt;=B130,'班次明細'!H11&gt;=C130),1,0),0)+IF(LEFT('班次明細'!O18,2)="吧台",IF(AND('班次明細'!L18&gt;0,'班次明細'!G18&lt;=B130,'班次明細'!H18&gt;=C130),1,0),0)+IF(LEFT('班次明細'!O25,2)="吧台",IF(AND('班次明細'!L25&gt;0,'班次明細'!G25&lt;=B130,'班次明細'!H25&gt;=C130),1,0),0)+IF(LEFT('班次明細'!O32,2)="吧台",IF(AND('班次明細'!L32&gt;0,'班次明細'!G32&lt;=B130,'班次明細'!H32&gt;=C130),1,0),0)+IF(LEFT('班次明細'!O39,2)="吧台",IF(AND('班次明細'!L39&gt;0,'班次明細'!G39&lt;=B130,'班次明細'!H39&gt;=C130),1,0),0)+IF(LEFT('班次明細'!O46,2)="吧台",IF(AND('班次明細'!L46&gt;0,'班次明細'!G46&lt;=B130,'班次明細'!H46&gt;=C130),1,0),0)+IF(LEFT('班次明細'!O53,2)="吧台",IF(AND('班次明細'!L53&gt;0,'班次明細'!G53&lt;=B130,'班次明細'!H53&gt;=C130),1,0),0)+IF(LEFT('班次明細'!O60,2)="吧台",IF(AND('班次明細'!L60&gt;0,'班次明細'!G60&lt;=B130,'班次明細'!H60&gt;=C130),1,0),0)+IF(LEFT('班次明細'!O67,2)="吧台",IF(AND('班次明細'!L67&gt;0,'班次明細'!G67&lt;=B130,'班次明細'!H67&gt;=C130),1,0),0)+IF(LEFT('班次明細'!O74,2)="吧台",IF(AND('班次明細'!L74&gt;0,'班次明細'!G74&lt;=B130,'班次明細'!H74&gt;=C130),1,0),0)+IF(LEFT('班次明細'!O81,2)="吧台",IF(AND('班次明細'!L81&gt;0,'班次明細'!G81&lt;=B130,'班次明細'!H81&gt;=C130),1,0),0))&gt;0,0,1)+IF((IF(LEFT('班次明細'!O11,2)="司爐",IF(AND('班次明細'!L11&gt;0,'班次明細'!G11&lt;=B130,'班次明細'!H11&gt;=C130),1,0),0)+IF(LEFT('班次明細'!O18,2)="司爐",IF(AND('班次明細'!L18&gt;0,'班次明細'!G18&lt;=B130,'班次明細'!H18&gt;=C130),1,0),0)+IF(LEFT('班次明細'!O25,2)="司爐",IF(AND('班次明細'!L25&gt;0,'班次明細'!G25&lt;=B130,'班次明細'!H25&gt;=C130),1,0),0)+IF(LEFT('班次明細'!O32,2)="司爐",IF(AND('班次明細'!L32&gt;0,'班次明細'!G32&lt;=B130,'班次明細'!H32&gt;=C130),1,0),0)+IF(LEFT('班次明細'!O39,2)="司爐",IF(AND('班次明細'!L39&gt;0,'班次明細'!G39&lt;=B130,'班次明細'!H39&gt;=C130),1,0),0)+IF(LEFT('班次明細'!O46,2)="司爐",IF(AND('班次明細'!L46&gt;0,'班次明細'!G46&lt;=B130,'班次明細'!H46&gt;=C130),1,0),0)+IF(LEFT('班次明細'!O53,2)="司爐",IF(AND('班次明細'!L53&gt;0,'班次明細'!G53&lt;=B130,'班次明細'!H53&gt;=C130),1,0),0)+IF(LEFT('班次明細'!O60,2)="司爐",IF(AND('班次明細'!L60&gt;0,'班次明細'!G60&lt;=B130,'班次明細'!H60&gt;=C130),1,0),0)+IF(LEFT('班次明細'!O67,2)="司爐",IF(AND('班次明細'!L67&gt;0,'班次明細'!G67&lt;=B130,'班次明細'!H67&gt;=C130),1,0),0)+IF(LEFT('班次明細'!O74,2)="司爐",IF(AND('班次明細'!L74&gt;0,'班次明細'!G74&lt;=B130,'班次明細'!H74&gt;=C130),1,0),0)+IF(LEFT('班次明細'!O81,2)="司爐",IF(AND('班次明細'!L81&gt;0,'班次明細'!G81&lt;=B130,'班次明細'!H81&gt;=C130),1,0),0))&gt;0,0,1)+IF((IF(LEFT('班次明細'!O11,2)="料區",IF(AND('班次明細'!L11&gt;0,'班次明細'!G11&lt;=B130,'班次明細'!H11&gt;=C130),1,0),0)+IF(LEFT('班次明細'!O18,2)="料區",IF(AND('班次明細'!L18&gt;0,'班次明細'!G18&lt;=B130,'班次明細'!H18&gt;=C130),1,0),0)+IF(LEFT('班次明細'!O25,2)="料區",IF(AND('班次明細'!L25&gt;0,'班次明細'!G25&lt;=B130,'班次明細'!H25&gt;=C130),1,0),0)+IF(LEFT('班次明細'!O32,2)="料區",IF(AND('班次明細'!L32&gt;0,'班次明細'!G32&lt;=B130,'班次明細'!H32&gt;=C130),1,0),0)+IF(LEFT('班次明細'!O39,2)="料區",IF(AND('班次明細'!L39&gt;0,'班次明細'!G39&lt;=B130,'班次明細'!H39&gt;=C130),1,0),0)+IF(LEFT('班次明細'!O46,2)="料區",IF(AND('班次明細'!L46&gt;0,'班次明細'!G46&lt;=B130,'班次明細'!H46&gt;=C130),1,0),0)+IF(LEFT('班次明細'!O53,2)="料區",IF(AND('班次明細'!L53&gt;0,'班次明細'!G53&lt;=B130,'班次明細'!H53&gt;=C130),1,0),0)+IF(LEFT('班次明細'!O60,2)="料區",IF(AND('班次明細'!L60&gt;0,'班次明細'!G60&lt;=B130,'班次明細'!H60&gt;=C130),1,0),0)+IF(LEFT('班次明細'!O67,2)="料區",IF(AND('班次明細'!L67&gt;0,'班次明細'!G67&lt;=B130,'班次明細'!H67&gt;=C130),1,0),0)+IF(LEFT('班次明細'!O74,2)="料區",IF(AND('班次明細'!L74&gt;0,'班次明細'!G74&lt;=B130,'班次明細'!H74&gt;=C130),1,0),0)+IF(LEFT('班次明細'!O81,2)="料區",IF(AND('班次明細'!L81&gt;0,'班次明細'!G81&lt;=B130,'班次明細'!H81&gt;=C130),1,0),0))&gt;0,0,1)+IF((IF(LEFT('班次明細'!O11,2)="炸區",IF(AND('班次明細'!L11&gt;0,'班次明細'!G11&lt;=B130,'班次明細'!H11&gt;=C130),1,0),0)+IF(LEFT('班次明細'!O18,2)="炸區",IF(AND('班次明細'!L18&gt;0,'班次明細'!G18&lt;=B130,'班次明細'!H18&gt;=C130),1,0),0)+IF(LEFT('班次明細'!O25,2)="炸區",IF(AND('班次明細'!L25&gt;0,'班次明細'!G25&lt;=B130,'班次明細'!H25&gt;=C130),1,0),0)+IF(LEFT('班次明細'!O32,2)="炸區",IF(AND('班次明細'!L32&gt;0,'班次明細'!G32&lt;=B130,'班次明細'!H32&gt;=C130),1,0),0)+IF(LEFT('班次明細'!O39,2)="炸區",IF(AND('班次明細'!L39&gt;0,'班次明細'!G39&lt;=B130,'班次明細'!H39&gt;=C130),1,0),0)+IF(LEFT('班次明細'!O46,2)="炸區",IF(AND('班次明細'!L46&gt;0,'班次明細'!G46&lt;=B130,'班次明細'!H46&gt;=C130),1,0),0)+IF(LEFT('班次明細'!O53,2)="炸區",IF(AND('班次明細'!L53&gt;0,'班次明細'!G53&lt;=B130,'班次明細'!H53&gt;=C130),1,0),0)+IF(LEFT('班次明細'!O60,2)="炸區",IF(AND('班次明細'!L60&gt;0,'班次明細'!G60&lt;=B130,'班次明細'!H60&gt;=C130),1,0),0)+IF(LEFT('班次明細'!O67,2)="炸區",IF(AND('班次明細'!L67&gt;0,'班次明細'!G67&lt;=B130,'班次明細'!H67&gt;=C130),1,0),0)+IF(LEFT('班次明細'!O74,2)="炸區",IF(AND('班次明細'!L74&gt;0,'班次明細'!G74&lt;=B130,'班次明細'!H74&gt;=C130),1,0),0)+IF(LEFT('班次明細'!O81,2)="炸區",IF(AND('班次明細'!L81&gt;0,'班次明細'!G81&lt;=B130,'班次明細'!H81&gt;=C130),1,0),0))&gt;0,0,1)+IF((IF(LEFT('班次明細'!O11,2)="拍區",IF(AND('班次明細'!L11&gt;0,'班次明細'!G11&lt;=B130,'班次明細'!H11&gt;=C130),1,0),0)+IF(LEFT('班次明細'!O18,2)="拍區",IF(AND('班次明細'!L18&gt;0,'班次明細'!G18&lt;=B130,'班次明細'!H18&gt;=C130),1,0),0)+IF(LEFT('班次明細'!O25,2)="拍區",IF(AND('班次明細'!L25&gt;0,'班次明細'!G25&lt;=B130,'班次明細'!H25&gt;=C130),1,0),0)+IF(LEFT('班次明細'!O32,2)="拍區",IF(AND('班次明細'!L32&gt;0,'班次明細'!G32&lt;=B130,'班次明細'!H32&gt;=C130),1,0),0)+IF(LEFT('班次明細'!O39,2)="拍區",IF(AND('班次明細'!L39&gt;0,'班次明細'!G39&lt;=B130,'班次明細'!H39&gt;=C130),1,0),0)+IF(LEFT('班次明細'!O46,2)="拍區",IF(AND('班次明細'!L46&gt;0,'班次明細'!G46&lt;=B130,'班次明細'!H46&gt;=C130),1,0),0)+IF(LEFT('班次明細'!O53,2)="拍區",IF(AND('班次明細'!L53&gt;0,'班次明細'!G53&lt;=B130,'班次明細'!H53&gt;=C130),1,0),0)+IF(LEFT('班次明細'!O60,2)="拍區",IF(AND('班次明細'!L60&gt;0,'班次明細'!G60&lt;=B130,'班次明細'!H60&gt;=C130),1,0),0)+IF(LEFT('班次明細'!O67,2)="拍區",IF(AND('班次明細'!L67&gt;0,'班次明細'!G67&lt;=B130,'班次明細'!H67&gt;=C130),1,0),0)+IF(LEFT('班次明細'!O74,2)="拍區",IF(AND('班次明細'!L74&gt;0,'班次明細'!G74&lt;=B130,'班次明細'!H74&gt;=C130),1,0),0)+IF(LEFT('班次明細'!O81,2)="拍區",IF(AND('班次明細'!L81&gt;0,'班次明細'!G81&lt;=B130,'班次明細'!H81&gt;=C130),1,0),0))&gt;0,0,1)+IF(G130&lt;7,0,IF((IF(LEFT('班次明細'!O11,2)="控場",IF(AND('班次明細'!L11&gt;0,'班次明細'!G11&lt;=B130,'班次明細'!H11&gt;=C130),1,0),0)+IF(LEFT('班次明細'!O18,2)="控場",IF(AND('班次明細'!L18&gt;0,'班次明細'!G18&lt;=B130,'班次明細'!H18&gt;=C130),1,0),0)+IF(LEFT('班次明細'!O25,2)="控場",IF(AND('班次明細'!L25&gt;0,'班次明細'!G25&lt;=B130,'班次明細'!H25&gt;=C130),1,0),0)+IF(LEFT('班次明細'!O32,2)="控場",IF(AND('班次明細'!L32&gt;0,'班次明細'!G32&lt;=B130,'班次明細'!H32&gt;=C130),1,0),0)+IF(LEFT('班次明細'!O39,2)="控場",IF(AND('班次明細'!L39&gt;0,'班次明細'!G39&lt;=B130,'班次明細'!H39&gt;=C130),1,0),0)+IF(LEFT('班次明細'!O46,2)="控場",IF(AND('班次明細'!L46&gt;0,'班次明細'!G46&lt;=B130,'班次明細'!H46&gt;=C130),1,0),0)+IF(LEFT('班次明細'!O53,2)="控場",IF(AND('班次明細'!L53&gt;0,'班次明細'!G53&lt;=B130,'班次明細'!H53&gt;=C130),1,0),0)+IF(LEFT('班次明細'!O60,2)="控場",IF(AND('班次明細'!L60&gt;0,'班次明細'!G60&lt;=B130,'班次明細'!H60&gt;=C130),1,0),0)+IF(LEFT('班次明細'!O67,2)="控場",IF(AND('班次明細'!L67&gt;0,'班次明細'!G67&lt;=B130,'班次明細'!H67&gt;=C130),1,0),0)+IF(LEFT('班次明細'!O74,2)="控場",IF(AND('班次明細'!L74&gt;0,'班次明細'!G74&lt;=B130,'班次明細'!H74&gt;=C130),1,0),0)+IF(LEFT('班次明細'!O81,2)="控場",IF(AND('班次明細'!L81&gt;0,'班次明細'!G81&lt;=B130,'班次明細'!H81&gt;=C130),1,0),0))&gt;0,0,1))</x:f>
        <x:v>0</x:v>
      </x:c>
      <x:c r="K130" s="11" t="str">
        <x:v>P01:外場；P03:吧台；P04:控場；P05:炸區；P06:料區；P09:拍區；P10:司爐</x:v>
      </x:c>
      <x:c r="L130" s="11" t="str">
        <x:f>IF(OR(H130&gt;0,I130&gt;0,J130&gt;0),"缺口／超額待處理","主崗齊；休息待現場")</x:f>
        <x:v>主崗齊；休息待現場</x:v>
      </x:c>
    </x:row>
    <x:row r="131" ht="42" customHeight="1">
      <x:c r="A131" s="12" t="n">
        <x:v>46319</x:v>
      </x:c>
      <x:c r="B131" s="13" t="n">
        <x:v>0.5208333333333334</x:v>
      </x:c>
      <x:c r="C131" s="13" t="n">
        <x:v>0.5416666666666666</x:v>
      </x:c>
      <x:c r="D131" s="2" t="str">
        <x:v>午餐主崗</x:v>
      </x:c>
      <x:c r="E131" s="2" t="n">
        <x:v>6</x:v>
      </x:c>
      <x:c r="F131" s="2" t="n">
        <x:v>7</x:v>
      </x:c>
      <x:c r="G131" s="2" t="n">
        <x:f>IF(AND('班次明細'!L11&gt;0,'班次明細'!G11&lt;=B131,'班次明細'!H11&gt;=C131),1,0)+IF(AND('班次明細'!L18&gt;0,'班次明細'!G18&lt;=B131,'班次明細'!H18&gt;=C131),1,0)+IF(AND('班次明細'!L25&gt;0,'班次明細'!G25&lt;=B131,'班次明細'!H25&gt;=C131),1,0)+IF(AND('班次明細'!L32&gt;0,'班次明細'!G32&lt;=B131,'班次明細'!H32&gt;=C131),1,0)+IF(AND('班次明細'!L39&gt;0,'班次明細'!G39&lt;=B131,'班次明細'!H39&gt;=C131),1,0)+IF(AND('班次明細'!L46&gt;0,'班次明細'!G46&lt;=B131,'班次明細'!H46&gt;=C131),1,0)+IF(AND('班次明細'!L53&gt;0,'班次明細'!G53&lt;=B131,'班次明細'!H53&gt;=C131),1,0)+IF(AND('班次明細'!L60&gt;0,'班次明細'!G60&lt;=B131,'班次明細'!H60&gt;=C131),1,0)+IF(AND('班次明細'!L67&gt;0,'班次明細'!G67&lt;=B131,'班次明細'!H67&gt;=C131),1,0)+IF(AND('班次明細'!L74&gt;0,'班次明細'!G74&lt;=B131,'班次明細'!H74&gt;=C131),1,0)+IF(AND('班次明細'!L81&gt;0,'班次明細'!G81&lt;=B131,'班次明細'!H81&gt;=C131),1,0)</x:f>
        <x:v>7</x:v>
      </x:c>
      <x:c r="H131" s="2" t="n">
        <x:f>MAX(0,E131-G131)</x:f>
        <x:v>0</x:v>
      </x:c>
      <x:c r="I131" s="2" t="n">
        <x:f>IF(F131="",0,MAX(0,G131-F131))</x:f>
        <x:v>0</x:v>
      </x:c>
      <x:c r="J131" s="2" t="n">
        <x:f>IF((IF(LEFT('班次明細'!O11,2)="外場",IF(AND('班次明細'!L11&gt;0,'班次明細'!G11&lt;=B131,'班次明細'!H11&gt;=C131),1,0),0)+IF(LEFT('班次明細'!O18,2)="外場",IF(AND('班次明細'!L18&gt;0,'班次明細'!G18&lt;=B131,'班次明細'!H18&gt;=C131),1,0),0)+IF(LEFT('班次明細'!O25,2)="外場",IF(AND('班次明細'!L25&gt;0,'班次明細'!G25&lt;=B131,'班次明細'!H25&gt;=C131),1,0),0)+IF(LEFT('班次明細'!O32,2)="外場",IF(AND('班次明細'!L32&gt;0,'班次明細'!G32&lt;=B131,'班次明細'!H32&gt;=C131),1,0),0)+IF(LEFT('班次明細'!O39,2)="外場",IF(AND('班次明細'!L39&gt;0,'班次明細'!G39&lt;=B131,'班次明細'!H39&gt;=C131),1,0),0)+IF(LEFT('班次明細'!O46,2)="外場",IF(AND('班次明細'!L46&gt;0,'班次明細'!G46&lt;=B131,'班次明細'!H46&gt;=C131),1,0),0)+IF(LEFT('班次明細'!O53,2)="外場",IF(AND('班次明細'!L53&gt;0,'班次明細'!G53&lt;=B131,'班次明細'!H53&gt;=C131),1,0),0)+IF(LEFT('班次明細'!O60,2)="外場",IF(AND('班次明細'!L60&gt;0,'班次明細'!G60&lt;=B131,'班次明細'!H60&gt;=C131),1,0),0)+IF(LEFT('班次明細'!O67,2)="外場",IF(AND('班次明細'!L67&gt;0,'班次明細'!G67&lt;=B131,'班次明細'!H67&gt;=C131),1,0),0)+IF(LEFT('班次明細'!O74,2)="外場",IF(AND('班次明細'!L74&gt;0,'班次明細'!G74&lt;=B131,'班次明細'!H74&gt;=C131),1,0),0)+IF(LEFT('班次明細'!O81,2)="外場",IF(AND('班次明細'!L81&gt;0,'班次明細'!G81&lt;=B131,'班次明細'!H81&gt;=C131),1,0),0))&gt;0,0,1)+IF((IF(LEFT('班次明細'!O11,2)="吧台",IF(AND('班次明細'!L11&gt;0,'班次明細'!G11&lt;=B131,'班次明細'!H11&gt;=C131),1,0),0)+IF(LEFT('班次明細'!O18,2)="吧台",IF(AND('班次明細'!L18&gt;0,'班次明細'!G18&lt;=B131,'班次明細'!H18&gt;=C131),1,0),0)+IF(LEFT('班次明細'!O25,2)="吧台",IF(AND('班次明細'!L25&gt;0,'班次明細'!G25&lt;=B131,'班次明細'!H25&gt;=C131),1,0),0)+IF(LEFT('班次明細'!O32,2)="吧台",IF(AND('班次明細'!L32&gt;0,'班次明細'!G32&lt;=B131,'班次明細'!H32&gt;=C131),1,0),0)+IF(LEFT('班次明細'!O39,2)="吧台",IF(AND('班次明細'!L39&gt;0,'班次明細'!G39&lt;=B131,'班次明細'!H39&gt;=C131),1,0),0)+IF(LEFT('班次明細'!O46,2)="吧台",IF(AND('班次明細'!L46&gt;0,'班次明細'!G46&lt;=B131,'班次明細'!H46&gt;=C131),1,0),0)+IF(LEFT('班次明細'!O53,2)="吧台",IF(AND('班次明細'!L53&gt;0,'班次明細'!G53&lt;=B131,'班次明細'!H53&gt;=C131),1,0),0)+IF(LEFT('班次明細'!O60,2)="吧台",IF(AND('班次明細'!L60&gt;0,'班次明細'!G60&lt;=B131,'班次明細'!H60&gt;=C131),1,0),0)+IF(LEFT('班次明細'!O67,2)="吧台",IF(AND('班次明細'!L67&gt;0,'班次明細'!G67&lt;=B131,'班次明細'!H67&gt;=C131),1,0),0)+IF(LEFT('班次明細'!O74,2)="吧台",IF(AND('班次明細'!L74&gt;0,'班次明細'!G74&lt;=B131,'班次明細'!H74&gt;=C131),1,0),0)+IF(LEFT('班次明細'!O81,2)="吧台",IF(AND('班次明細'!L81&gt;0,'班次明細'!G81&lt;=B131,'班次明細'!H81&gt;=C131),1,0),0))&gt;0,0,1)+IF((IF(LEFT('班次明細'!O11,2)="司爐",IF(AND('班次明細'!L11&gt;0,'班次明細'!G11&lt;=B131,'班次明細'!H11&gt;=C131),1,0),0)+IF(LEFT('班次明細'!O18,2)="司爐",IF(AND('班次明細'!L18&gt;0,'班次明細'!G18&lt;=B131,'班次明細'!H18&gt;=C131),1,0),0)+IF(LEFT('班次明細'!O25,2)="司爐",IF(AND('班次明細'!L25&gt;0,'班次明細'!G25&lt;=B131,'班次明細'!H25&gt;=C131),1,0),0)+IF(LEFT('班次明細'!O32,2)="司爐",IF(AND('班次明細'!L32&gt;0,'班次明細'!G32&lt;=B131,'班次明細'!H32&gt;=C131),1,0),0)+IF(LEFT('班次明細'!O39,2)="司爐",IF(AND('班次明細'!L39&gt;0,'班次明細'!G39&lt;=B131,'班次明細'!H39&gt;=C131),1,0),0)+IF(LEFT('班次明細'!O46,2)="司爐",IF(AND('班次明細'!L46&gt;0,'班次明細'!G46&lt;=B131,'班次明細'!H46&gt;=C131),1,0),0)+IF(LEFT('班次明細'!O53,2)="司爐",IF(AND('班次明細'!L53&gt;0,'班次明細'!G53&lt;=B131,'班次明細'!H53&gt;=C131),1,0),0)+IF(LEFT('班次明細'!O60,2)="司爐",IF(AND('班次明細'!L60&gt;0,'班次明細'!G60&lt;=B131,'班次明細'!H60&gt;=C131),1,0),0)+IF(LEFT('班次明細'!O67,2)="司爐",IF(AND('班次明細'!L67&gt;0,'班次明細'!G67&lt;=B131,'班次明細'!H67&gt;=C131),1,0),0)+IF(LEFT('班次明細'!O74,2)="司爐",IF(AND('班次明細'!L74&gt;0,'班次明細'!G74&lt;=B131,'班次明細'!H74&gt;=C131),1,0),0)+IF(LEFT('班次明細'!O81,2)="司爐",IF(AND('班次明細'!L81&gt;0,'班次明細'!G81&lt;=B131,'班次明細'!H81&gt;=C131),1,0),0))&gt;0,0,1)+IF((IF(LEFT('班次明細'!O11,2)="料區",IF(AND('班次明細'!L11&gt;0,'班次明細'!G11&lt;=B131,'班次明細'!H11&gt;=C131),1,0),0)+IF(LEFT('班次明細'!O18,2)="料區",IF(AND('班次明細'!L18&gt;0,'班次明細'!G18&lt;=B131,'班次明細'!H18&gt;=C131),1,0),0)+IF(LEFT('班次明細'!O25,2)="料區",IF(AND('班次明細'!L25&gt;0,'班次明細'!G25&lt;=B131,'班次明細'!H25&gt;=C131),1,0),0)+IF(LEFT('班次明細'!O32,2)="料區",IF(AND('班次明細'!L32&gt;0,'班次明細'!G32&lt;=B131,'班次明細'!H32&gt;=C131),1,0),0)+IF(LEFT('班次明細'!O39,2)="料區",IF(AND('班次明細'!L39&gt;0,'班次明細'!G39&lt;=B131,'班次明細'!H39&gt;=C131),1,0),0)+IF(LEFT('班次明細'!O46,2)="料區",IF(AND('班次明細'!L46&gt;0,'班次明細'!G46&lt;=B131,'班次明細'!H46&gt;=C131),1,0),0)+IF(LEFT('班次明細'!O53,2)="料區",IF(AND('班次明細'!L53&gt;0,'班次明細'!G53&lt;=B131,'班次明細'!H53&gt;=C131),1,0),0)+IF(LEFT('班次明細'!O60,2)="料區",IF(AND('班次明細'!L60&gt;0,'班次明細'!G60&lt;=B131,'班次明細'!H60&gt;=C131),1,0),0)+IF(LEFT('班次明細'!O67,2)="料區",IF(AND('班次明細'!L67&gt;0,'班次明細'!G67&lt;=B131,'班次明細'!H67&gt;=C131),1,0),0)+IF(LEFT('班次明細'!O74,2)="料區",IF(AND('班次明細'!L74&gt;0,'班次明細'!G74&lt;=B131,'班次明細'!H74&gt;=C131),1,0),0)+IF(LEFT('班次明細'!O81,2)="料區",IF(AND('班次明細'!L81&gt;0,'班次明細'!G81&lt;=B131,'班次明細'!H81&gt;=C131),1,0),0))&gt;0,0,1)+IF((IF(LEFT('班次明細'!O11,2)="炸區",IF(AND('班次明細'!L11&gt;0,'班次明細'!G11&lt;=B131,'班次明細'!H11&gt;=C131),1,0),0)+IF(LEFT('班次明細'!O18,2)="炸區",IF(AND('班次明細'!L18&gt;0,'班次明細'!G18&lt;=B131,'班次明細'!H18&gt;=C131),1,0),0)+IF(LEFT('班次明細'!O25,2)="炸區",IF(AND('班次明細'!L25&gt;0,'班次明細'!G25&lt;=B131,'班次明細'!H25&gt;=C131),1,0),0)+IF(LEFT('班次明細'!O32,2)="炸區",IF(AND('班次明細'!L32&gt;0,'班次明細'!G32&lt;=B131,'班次明細'!H32&gt;=C131),1,0),0)+IF(LEFT('班次明細'!O39,2)="炸區",IF(AND('班次明細'!L39&gt;0,'班次明細'!G39&lt;=B131,'班次明細'!H39&gt;=C131),1,0),0)+IF(LEFT('班次明細'!O46,2)="炸區",IF(AND('班次明細'!L46&gt;0,'班次明細'!G46&lt;=B131,'班次明細'!H46&gt;=C131),1,0),0)+IF(LEFT('班次明細'!O53,2)="炸區",IF(AND('班次明細'!L53&gt;0,'班次明細'!G53&lt;=B131,'班次明細'!H53&gt;=C131),1,0),0)+IF(LEFT('班次明細'!O60,2)="炸區",IF(AND('班次明細'!L60&gt;0,'班次明細'!G60&lt;=B131,'班次明細'!H60&gt;=C131),1,0),0)+IF(LEFT('班次明細'!O67,2)="炸區",IF(AND('班次明細'!L67&gt;0,'班次明細'!G67&lt;=B131,'班次明細'!H67&gt;=C131),1,0),0)+IF(LEFT('班次明細'!O74,2)="炸區",IF(AND('班次明細'!L74&gt;0,'班次明細'!G74&lt;=B131,'班次明細'!H74&gt;=C131),1,0),0)+IF(LEFT('班次明細'!O81,2)="炸區",IF(AND('班次明細'!L81&gt;0,'班次明細'!G81&lt;=B131,'班次明細'!H81&gt;=C131),1,0),0))&gt;0,0,1)+IF((IF(LEFT('班次明細'!O11,2)="拍區",IF(AND('班次明細'!L11&gt;0,'班次明細'!G11&lt;=B131,'班次明細'!H11&gt;=C131),1,0),0)+IF(LEFT('班次明細'!O18,2)="拍區",IF(AND('班次明細'!L18&gt;0,'班次明細'!G18&lt;=B131,'班次明細'!H18&gt;=C131),1,0),0)+IF(LEFT('班次明細'!O25,2)="拍區",IF(AND('班次明細'!L25&gt;0,'班次明細'!G25&lt;=B131,'班次明細'!H25&gt;=C131),1,0),0)+IF(LEFT('班次明細'!O32,2)="拍區",IF(AND('班次明細'!L32&gt;0,'班次明細'!G32&lt;=B131,'班次明細'!H32&gt;=C131),1,0),0)+IF(LEFT('班次明細'!O39,2)="拍區",IF(AND('班次明細'!L39&gt;0,'班次明細'!G39&lt;=B131,'班次明細'!H39&gt;=C131),1,0),0)+IF(LEFT('班次明細'!O46,2)="拍區",IF(AND('班次明細'!L46&gt;0,'班次明細'!G46&lt;=B131,'班次明細'!H46&gt;=C131),1,0),0)+IF(LEFT('班次明細'!O53,2)="拍區",IF(AND('班次明細'!L53&gt;0,'班次明細'!G53&lt;=B131,'班次明細'!H53&gt;=C131),1,0),0)+IF(LEFT('班次明細'!O60,2)="拍區",IF(AND('班次明細'!L60&gt;0,'班次明細'!G60&lt;=B131,'班次明細'!H60&gt;=C131),1,0),0)+IF(LEFT('班次明細'!O67,2)="拍區",IF(AND('班次明細'!L67&gt;0,'班次明細'!G67&lt;=B131,'班次明細'!H67&gt;=C131),1,0),0)+IF(LEFT('班次明細'!O74,2)="拍區",IF(AND('班次明細'!L74&gt;0,'班次明細'!G74&lt;=B131,'班次明細'!H74&gt;=C131),1,0),0)+IF(LEFT('班次明細'!O81,2)="拍區",IF(AND('班次明細'!L81&gt;0,'班次明細'!G81&lt;=B131,'班次明細'!H81&gt;=C131),1,0),0))&gt;0,0,1)+IF(G131&lt;7,0,IF((IF(LEFT('班次明細'!O11,2)="控場",IF(AND('班次明細'!L11&gt;0,'班次明細'!G11&lt;=B131,'班次明細'!H11&gt;=C131),1,0),0)+IF(LEFT('班次明細'!O18,2)="控場",IF(AND('班次明細'!L18&gt;0,'班次明細'!G18&lt;=B131,'班次明細'!H18&gt;=C131),1,0),0)+IF(LEFT('班次明細'!O25,2)="控場",IF(AND('班次明細'!L25&gt;0,'班次明細'!G25&lt;=B131,'班次明細'!H25&gt;=C131),1,0),0)+IF(LEFT('班次明細'!O32,2)="控場",IF(AND('班次明細'!L32&gt;0,'班次明細'!G32&lt;=B131,'班次明細'!H32&gt;=C131),1,0),0)+IF(LEFT('班次明細'!O39,2)="控場",IF(AND('班次明細'!L39&gt;0,'班次明細'!G39&lt;=B131,'班次明細'!H39&gt;=C131),1,0),0)+IF(LEFT('班次明細'!O46,2)="控場",IF(AND('班次明細'!L46&gt;0,'班次明細'!G46&lt;=B131,'班次明細'!H46&gt;=C131),1,0),0)+IF(LEFT('班次明細'!O53,2)="控場",IF(AND('班次明細'!L53&gt;0,'班次明細'!G53&lt;=B131,'班次明細'!H53&gt;=C131),1,0),0)+IF(LEFT('班次明細'!O60,2)="控場",IF(AND('班次明細'!L60&gt;0,'班次明細'!G60&lt;=B131,'班次明細'!H60&gt;=C131),1,0),0)+IF(LEFT('班次明細'!O67,2)="控場",IF(AND('班次明細'!L67&gt;0,'班次明細'!G67&lt;=B131,'班次明細'!H67&gt;=C131),1,0),0)+IF(LEFT('班次明細'!O74,2)="控場",IF(AND('班次明細'!L74&gt;0,'班次明細'!G74&lt;=B131,'班次明細'!H74&gt;=C131),1,0),0)+IF(LEFT('班次明細'!O81,2)="控場",IF(AND('班次明細'!L81&gt;0,'班次明細'!G81&lt;=B131,'班次明細'!H81&gt;=C131),1,0),0))&gt;0,0,1))</x:f>
        <x:v>0</x:v>
      </x:c>
      <x:c r="K131" s="11" t="str">
        <x:v>P01:外場；P03:吧台；P04:控場；P05:炸區；P06:料區；P09:拍區；P10:司爐</x:v>
      </x:c>
      <x:c r="L131" s="11" t="str">
        <x:f>IF(OR(H131&gt;0,I131&gt;0,J131&gt;0),"缺口／超額待處理","主崗齊；休息待現場")</x:f>
        <x:v>主崗齊；休息待現場</x:v>
      </x:c>
    </x:row>
    <x:row r="132" ht="42" customHeight="1">
      <x:c r="A132" s="12" t="n">
        <x:v>46319</x:v>
      </x:c>
      <x:c r="B132" s="13" t="n">
        <x:v>0.5416666666666666</x:v>
      </x:c>
      <x:c r="C132" s="13" t="n">
        <x:v>0.5625</x:v>
      </x:c>
      <x:c r="D132" s="2" t="str">
        <x:v>午餐主崗</x:v>
      </x:c>
      <x:c r="E132" s="2" t="n">
        <x:v>6</x:v>
      </x:c>
      <x:c r="F132" s="2" t="n">
        <x:v>7</x:v>
      </x:c>
      <x:c r="G132" s="2" t="n">
        <x:f>IF(AND('班次明細'!L11&gt;0,'班次明細'!G11&lt;=B132,'班次明細'!H11&gt;=C132),1,0)+IF(AND('班次明細'!L18&gt;0,'班次明細'!G18&lt;=B132,'班次明細'!H18&gt;=C132),1,0)+IF(AND('班次明細'!L25&gt;0,'班次明細'!G25&lt;=B132,'班次明細'!H25&gt;=C132),1,0)+IF(AND('班次明細'!L32&gt;0,'班次明細'!G32&lt;=B132,'班次明細'!H32&gt;=C132),1,0)+IF(AND('班次明細'!L39&gt;0,'班次明細'!G39&lt;=B132,'班次明細'!H39&gt;=C132),1,0)+IF(AND('班次明細'!L46&gt;0,'班次明細'!G46&lt;=B132,'班次明細'!H46&gt;=C132),1,0)+IF(AND('班次明細'!L53&gt;0,'班次明細'!G53&lt;=B132,'班次明細'!H53&gt;=C132),1,0)+IF(AND('班次明細'!L60&gt;0,'班次明細'!G60&lt;=B132,'班次明細'!H60&gt;=C132),1,0)+IF(AND('班次明細'!L67&gt;0,'班次明細'!G67&lt;=B132,'班次明細'!H67&gt;=C132),1,0)+IF(AND('班次明細'!L74&gt;0,'班次明細'!G74&lt;=B132,'班次明細'!H74&gt;=C132),1,0)+IF(AND('班次明細'!L81&gt;0,'班次明細'!G81&lt;=B132,'班次明細'!H81&gt;=C132),1,0)</x:f>
        <x:v>7</x:v>
      </x:c>
      <x:c r="H132" s="2" t="n">
        <x:f>MAX(0,E132-G132)</x:f>
        <x:v>0</x:v>
      </x:c>
      <x:c r="I132" s="2" t="n">
        <x:f>IF(F132="",0,MAX(0,G132-F132))</x:f>
        <x:v>0</x:v>
      </x:c>
      <x:c r="J132" s="2" t="n">
        <x:f>IF((IF(LEFT('班次明細'!O11,2)="外場",IF(AND('班次明細'!L11&gt;0,'班次明細'!G11&lt;=B132,'班次明細'!H11&gt;=C132),1,0),0)+IF(LEFT('班次明細'!O18,2)="外場",IF(AND('班次明細'!L18&gt;0,'班次明細'!G18&lt;=B132,'班次明細'!H18&gt;=C132),1,0),0)+IF(LEFT('班次明細'!O25,2)="外場",IF(AND('班次明細'!L25&gt;0,'班次明細'!G25&lt;=B132,'班次明細'!H25&gt;=C132),1,0),0)+IF(LEFT('班次明細'!O32,2)="外場",IF(AND('班次明細'!L32&gt;0,'班次明細'!G32&lt;=B132,'班次明細'!H32&gt;=C132),1,0),0)+IF(LEFT('班次明細'!O39,2)="外場",IF(AND('班次明細'!L39&gt;0,'班次明細'!G39&lt;=B132,'班次明細'!H39&gt;=C132),1,0),0)+IF(LEFT('班次明細'!O46,2)="外場",IF(AND('班次明細'!L46&gt;0,'班次明細'!G46&lt;=B132,'班次明細'!H46&gt;=C132),1,0),0)+IF(LEFT('班次明細'!O53,2)="外場",IF(AND('班次明細'!L53&gt;0,'班次明細'!G53&lt;=B132,'班次明細'!H53&gt;=C132),1,0),0)+IF(LEFT('班次明細'!O60,2)="外場",IF(AND('班次明細'!L60&gt;0,'班次明細'!G60&lt;=B132,'班次明細'!H60&gt;=C132),1,0),0)+IF(LEFT('班次明細'!O67,2)="外場",IF(AND('班次明細'!L67&gt;0,'班次明細'!G67&lt;=B132,'班次明細'!H67&gt;=C132),1,0),0)+IF(LEFT('班次明細'!O74,2)="外場",IF(AND('班次明細'!L74&gt;0,'班次明細'!G74&lt;=B132,'班次明細'!H74&gt;=C132),1,0),0)+IF(LEFT('班次明細'!O81,2)="外場",IF(AND('班次明細'!L81&gt;0,'班次明細'!G81&lt;=B132,'班次明細'!H81&gt;=C132),1,0),0))&gt;0,0,1)+IF((IF(LEFT('班次明細'!O11,2)="吧台",IF(AND('班次明細'!L11&gt;0,'班次明細'!G11&lt;=B132,'班次明細'!H11&gt;=C132),1,0),0)+IF(LEFT('班次明細'!O18,2)="吧台",IF(AND('班次明細'!L18&gt;0,'班次明細'!G18&lt;=B132,'班次明細'!H18&gt;=C132),1,0),0)+IF(LEFT('班次明細'!O25,2)="吧台",IF(AND('班次明細'!L25&gt;0,'班次明細'!G25&lt;=B132,'班次明細'!H25&gt;=C132),1,0),0)+IF(LEFT('班次明細'!O32,2)="吧台",IF(AND('班次明細'!L32&gt;0,'班次明細'!G32&lt;=B132,'班次明細'!H32&gt;=C132),1,0),0)+IF(LEFT('班次明細'!O39,2)="吧台",IF(AND('班次明細'!L39&gt;0,'班次明細'!G39&lt;=B132,'班次明細'!H39&gt;=C132),1,0),0)+IF(LEFT('班次明細'!O46,2)="吧台",IF(AND('班次明細'!L46&gt;0,'班次明細'!G46&lt;=B132,'班次明細'!H46&gt;=C132),1,0),0)+IF(LEFT('班次明細'!O53,2)="吧台",IF(AND('班次明細'!L53&gt;0,'班次明細'!G53&lt;=B132,'班次明細'!H53&gt;=C132),1,0),0)+IF(LEFT('班次明細'!O60,2)="吧台",IF(AND('班次明細'!L60&gt;0,'班次明細'!G60&lt;=B132,'班次明細'!H60&gt;=C132),1,0),0)+IF(LEFT('班次明細'!O67,2)="吧台",IF(AND('班次明細'!L67&gt;0,'班次明細'!G67&lt;=B132,'班次明細'!H67&gt;=C132),1,0),0)+IF(LEFT('班次明細'!O74,2)="吧台",IF(AND('班次明細'!L74&gt;0,'班次明細'!G74&lt;=B132,'班次明細'!H74&gt;=C132),1,0),0)+IF(LEFT('班次明細'!O81,2)="吧台",IF(AND('班次明細'!L81&gt;0,'班次明細'!G81&lt;=B132,'班次明細'!H81&gt;=C132),1,0),0))&gt;0,0,1)+IF((IF(LEFT('班次明細'!O11,2)="司爐",IF(AND('班次明細'!L11&gt;0,'班次明細'!G11&lt;=B132,'班次明細'!H11&gt;=C132),1,0),0)+IF(LEFT('班次明細'!O18,2)="司爐",IF(AND('班次明細'!L18&gt;0,'班次明細'!G18&lt;=B132,'班次明細'!H18&gt;=C132),1,0),0)+IF(LEFT('班次明細'!O25,2)="司爐",IF(AND('班次明細'!L25&gt;0,'班次明細'!G25&lt;=B132,'班次明細'!H25&gt;=C132),1,0),0)+IF(LEFT('班次明細'!O32,2)="司爐",IF(AND('班次明細'!L32&gt;0,'班次明細'!G32&lt;=B132,'班次明細'!H32&gt;=C132),1,0),0)+IF(LEFT('班次明細'!O39,2)="司爐",IF(AND('班次明細'!L39&gt;0,'班次明細'!G39&lt;=B132,'班次明細'!H39&gt;=C132),1,0),0)+IF(LEFT('班次明細'!O46,2)="司爐",IF(AND('班次明細'!L46&gt;0,'班次明細'!G46&lt;=B132,'班次明細'!H46&gt;=C132),1,0),0)+IF(LEFT('班次明細'!O53,2)="司爐",IF(AND('班次明細'!L53&gt;0,'班次明細'!G53&lt;=B132,'班次明細'!H53&gt;=C132),1,0),0)+IF(LEFT('班次明細'!O60,2)="司爐",IF(AND('班次明細'!L60&gt;0,'班次明細'!G60&lt;=B132,'班次明細'!H60&gt;=C132),1,0),0)+IF(LEFT('班次明細'!O67,2)="司爐",IF(AND('班次明細'!L67&gt;0,'班次明細'!G67&lt;=B132,'班次明細'!H67&gt;=C132),1,0),0)+IF(LEFT('班次明細'!O74,2)="司爐",IF(AND('班次明細'!L74&gt;0,'班次明細'!G74&lt;=B132,'班次明細'!H74&gt;=C132),1,0),0)+IF(LEFT('班次明細'!O81,2)="司爐",IF(AND('班次明細'!L81&gt;0,'班次明細'!G81&lt;=B132,'班次明細'!H81&gt;=C132),1,0),0))&gt;0,0,1)+IF((IF(LEFT('班次明細'!O11,2)="料區",IF(AND('班次明細'!L11&gt;0,'班次明細'!G11&lt;=B132,'班次明細'!H11&gt;=C132),1,0),0)+IF(LEFT('班次明細'!O18,2)="料區",IF(AND('班次明細'!L18&gt;0,'班次明細'!G18&lt;=B132,'班次明細'!H18&gt;=C132),1,0),0)+IF(LEFT('班次明細'!O25,2)="料區",IF(AND('班次明細'!L25&gt;0,'班次明細'!G25&lt;=B132,'班次明細'!H25&gt;=C132),1,0),0)+IF(LEFT('班次明細'!O32,2)="料區",IF(AND('班次明細'!L32&gt;0,'班次明細'!G32&lt;=B132,'班次明細'!H32&gt;=C132),1,0),0)+IF(LEFT('班次明細'!O39,2)="料區",IF(AND('班次明細'!L39&gt;0,'班次明細'!G39&lt;=B132,'班次明細'!H39&gt;=C132),1,0),0)+IF(LEFT('班次明細'!O46,2)="料區",IF(AND('班次明細'!L46&gt;0,'班次明細'!G46&lt;=B132,'班次明細'!H46&gt;=C132),1,0),0)+IF(LEFT('班次明細'!O53,2)="料區",IF(AND('班次明細'!L53&gt;0,'班次明細'!G53&lt;=B132,'班次明細'!H53&gt;=C132),1,0),0)+IF(LEFT('班次明細'!O60,2)="料區",IF(AND('班次明細'!L60&gt;0,'班次明細'!G60&lt;=B132,'班次明細'!H60&gt;=C132),1,0),0)+IF(LEFT('班次明細'!O67,2)="料區",IF(AND('班次明細'!L67&gt;0,'班次明細'!G67&lt;=B132,'班次明細'!H67&gt;=C132),1,0),0)+IF(LEFT('班次明細'!O74,2)="料區",IF(AND('班次明細'!L74&gt;0,'班次明細'!G74&lt;=B132,'班次明細'!H74&gt;=C132),1,0),0)+IF(LEFT('班次明細'!O81,2)="料區",IF(AND('班次明細'!L81&gt;0,'班次明細'!G81&lt;=B132,'班次明細'!H81&gt;=C132),1,0),0))&gt;0,0,1)+IF((IF(LEFT('班次明細'!O11,2)="炸區",IF(AND('班次明細'!L11&gt;0,'班次明細'!G11&lt;=B132,'班次明細'!H11&gt;=C132),1,0),0)+IF(LEFT('班次明細'!O18,2)="炸區",IF(AND('班次明細'!L18&gt;0,'班次明細'!G18&lt;=B132,'班次明細'!H18&gt;=C132),1,0),0)+IF(LEFT('班次明細'!O25,2)="炸區",IF(AND('班次明細'!L25&gt;0,'班次明細'!G25&lt;=B132,'班次明細'!H25&gt;=C132),1,0),0)+IF(LEFT('班次明細'!O32,2)="炸區",IF(AND('班次明細'!L32&gt;0,'班次明細'!G32&lt;=B132,'班次明細'!H32&gt;=C132),1,0),0)+IF(LEFT('班次明細'!O39,2)="炸區",IF(AND('班次明細'!L39&gt;0,'班次明細'!G39&lt;=B132,'班次明細'!H39&gt;=C132),1,0),0)+IF(LEFT('班次明細'!O46,2)="炸區",IF(AND('班次明細'!L46&gt;0,'班次明細'!G46&lt;=B132,'班次明細'!H46&gt;=C132),1,0),0)+IF(LEFT('班次明細'!O53,2)="炸區",IF(AND('班次明細'!L53&gt;0,'班次明細'!G53&lt;=B132,'班次明細'!H53&gt;=C132),1,0),0)+IF(LEFT('班次明細'!O60,2)="炸區",IF(AND('班次明細'!L60&gt;0,'班次明細'!G60&lt;=B132,'班次明細'!H60&gt;=C132),1,0),0)+IF(LEFT('班次明細'!O67,2)="炸區",IF(AND('班次明細'!L67&gt;0,'班次明細'!G67&lt;=B132,'班次明細'!H67&gt;=C132),1,0),0)+IF(LEFT('班次明細'!O74,2)="炸區",IF(AND('班次明細'!L74&gt;0,'班次明細'!G74&lt;=B132,'班次明細'!H74&gt;=C132),1,0),0)+IF(LEFT('班次明細'!O81,2)="炸區",IF(AND('班次明細'!L81&gt;0,'班次明細'!G81&lt;=B132,'班次明細'!H81&gt;=C132),1,0),0))&gt;0,0,1)+IF((IF(LEFT('班次明細'!O11,2)="拍區",IF(AND('班次明細'!L11&gt;0,'班次明細'!G11&lt;=B132,'班次明細'!H11&gt;=C132),1,0),0)+IF(LEFT('班次明細'!O18,2)="拍區",IF(AND('班次明細'!L18&gt;0,'班次明細'!G18&lt;=B132,'班次明細'!H18&gt;=C132),1,0),0)+IF(LEFT('班次明細'!O25,2)="拍區",IF(AND('班次明細'!L25&gt;0,'班次明細'!G25&lt;=B132,'班次明細'!H25&gt;=C132),1,0),0)+IF(LEFT('班次明細'!O32,2)="拍區",IF(AND('班次明細'!L32&gt;0,'班次明細'!G32&lt;=B132,'班次明細'!H32&gt;=C132),1,0),0)+IF(LEFT('班次明細'!O39,2)="拍區",IF(AND('班次明細'!L39&gt;0,'班次明細'!G39&lt;=B132,'班次明細'!H39&gt;=C132),1,0),0)+IF(LEFT('班次明細'!O46,2)="拍區",IF(AND('班次明細'!L46&gt;0,'班次明細'!G46&lt;=B132,'班次明細'!H46&gt;=C132),1,0),0)+IF(LEFT('班次明細'!O53,2)="拍區",IF(AND('班次明細'!L53&gt;0,'班次明細'!G53&lt;=B132,'班次明細'!H53&gt;=C132),1,0),0)+IF(LEFT('班次明細'!O60,2)="拍區",IF(AND('班次明細'!L60&gt;0,'班次明細'!G60&lt;=B132,'班次明細'!H60&gt;=C132),1,0),0)+IF(LEFT('班次明細'!O67,2)="拍區",IF(AND('班次明細'!L67&gt;0,'班次明細'!G67&lt;=B132,'班次明細'!H67&gt;=C132),1,0),0)+IF(LEFT('班次明細'!O74,2)="拍區",IF(AND('班次明細'!L74&gt;0,'班次明細'!G74&lt;=B132,'班次明細'!H74&gt;=C132),1,0),0)+IF(LEFT('班次明細'!O81,2)="拍區",IF(AND('班次明細'!L81&gt;0,'班次明細'!G81&lt;=B132,'班次明細'!H81&gt;=C132),1,0),0))&gt;0,0,1)+IF(G132&lt;7,0,IF((IF(LEFT('班次明細'!O11,2)="控場",IF(AND('班次明細'!L11&gt;0,'班次明細'!G11&lt;=B132,'班次明細'!H11&gt;=C132),1,0),0)+IF(LEFT('班次明細'!O18,2)="控場",IF(AND('班次明細'!L18&gt;0,'班次明細'!G18&lt;=B132,'班次明細'!H18&gt;=C132),1,0),0)+IF(LEFT('班次明細'!O25,2)="控場",IF(AND('班次明細'!L25&gt;0,'班次明細'!G25&lt;=B132,'班次明細'!H25&gt;=C132),1,0),0)+IF(LEFT('班次明細'!O32,2)="控場",IF(AND('班次明細'!L32&gt;0,'班次明細'!G32&lt;=B132,'班次明細'!H32&gt;=C132),1,0),0)+IF(LEFT('班次明細'!O39,2)="控場",IF(AND('班次明細'!L39&gt;0,'班次明細'!G39&lt;=B132,'班次明細'!H39&gt;=C132),1,0),0)+IF(LEFT('班次明細'!O46,2)="控場",IF(AND('班次明細'!L46&gt;0,'班次明細'!G46&lt;=B132,'班次明細'!H46&gt;=C132),1,0),0)+IF(LEFT('班次明細'!O53,2)="控場",IF(AND('班次明細'!L53&gt;0,'班次明細'!G53&lt;=B132,'班次明細'!H53&gt;=C132),1,0),0)+IF(LEFT('班次明細'!O60,2)="控場",IF(AND('班次明細'!L60&gt;0,'班次明細'!G60&lt;=B132,'班次明細'!H60&gt;=C132),1,0),0)+IF(LEFT('班次明細'!O67,2)="控場",IF(AND('班次明細'!L67&gt;0,'班次明細'!G67&lt;=B132,'班次明細'!H67&gt;=C132),1,0),0)+IF(LEFT('班次明細'!O74,2)="控場",IF(AND('班次明細'!L74&gt;0,'班次明細'!G74&lt;=B132,'班次明細'!H74&gt;=C132),1,0),0)+IF(LEFT('班次明細'!O81,2)="控場",IF(AND('班次明細'!L81&gt;0,'班次明細'!G81&lt;=B132,'班次明細'!H81&gt;=C132),1,0),0))&gt;0,0,1))</x:f>
        <x:v>0</x:v>
      </x:c>
      <x:c r="K132" s="11" t="str">
        <x:v>P01:外場；P03:吧台；P04:控場；P05:炸區；P06:料區；P09:拍區；P10:司爐</x:v>
      </x:c>
      <x:c r="L132" s="11" t="str">
        <x:f>IF(OR(H132&gt;0,I132&gt;0,J132&gt;0),"缺口／超額待處理","主崗齊；休息待現場")</x:f>
        <x:v>主崗齊；休息待現場</x:v>
      </x:c>
    </x:row>
    <x:row r="133" ht="42" customHeight="1">
      <x:c r="A133" s="12" t="n">
        <x:v>46319</x:v>
      </x:c>
      <x:c r="B133" s="13" t="n">
        <x:v>0.5625</x:v>
      </x:c>
      <x:c r="C133" s="13" t="n">
        <x:v>0.5833333333333334</x:v>
      </x:c>
      <x:c r="D133" s="2" t="str">
        <x:v>午餐主崗</x:v>
      </x:c>
      <x:c r="E133" s="2" t="n">
        <x:v>6</x:v>
      </x:c>
      <x:c r="F133" s="2" t="n">
        <x:v>7</x:v>
      </x:c>
      <x:c r="G133" s="2" t="n">
        <x:f>IF(AND('班次明細'!L11&gt;0,'班次明細'!G11&lt;=B133,'班次明細'!H11&gt;=C133),1,0)+IF(AND('班次明細'!L18&gt;0,'班次明細'!G18&lt;=B133,'班次明細'!H18&gt;=C133),1,0)+IF(AND('班次明細'!L25&gt;0,'班次明細'!G25&lt;=B133,'班次明細'!H25&gt;=C133),1,0)+IF(AND('班次明細'!L32&gt;0,'班次明細'!G32&lt;=B133,'班次明細'!H32&gt;=C133),1,0)+IF(AND('班次明細'!L39&gt;0,'班次明細'!G39&lt;=B133,'班次明細'!H39&gt;=C133),1,0)+IF(AND('班次明細'!L46&gt;0,'班次明細'!G46&lt;=B133,'班次明細'!H46&gt;=C133),1,0)+IF(AND('班次明細'!L53&gt;0,'班次明細'!G53&lt;=B133,'班次明細'!H53&gt;=C133),1,0)+IF(AND('班次明細'!L60&gt;0,'班次明細'!G60&lt;=B133,'班次明細'!H60&gt;=C133),1,0)+IF(AND('班次明細'!L67&gt;0,'班次明細'!G67&lt;=B133,'班次明細'!H67&gt;=C133),1,0)+IF(AND('班次明細'!L74&gt;0,'班次明細'!G74&lt;=B133,'班次明細'!H74&gt;=C133),1,0)+IF(AND('班次明細'!L81&gt;0,'班次明細'!G81&lt;=B133,'班次明細'!H81&gt;=C133),1,0)</x:f>
        <x:v>7</x:v>
      </x:c>
      <x:c r="H133" s="2" t="n">
        <x:f>MAX(0,E133-G133)</x:f>
        <x:v>0</x:v>
      </x:c>
      <x:c r="I133" s="2" t="n">
        <x:f>IF(F133="",0,MAX(0,G133-F133))</x:f>
        <x:v>0</x:v>
      </x:c>
      <x:c r="J133" s="2" t="n">
        <x:f>IF((IF(LEFT('班次明細'!O11,2)="外場",IF(AND('班次明細'!L11&gt;0,'班次明細'!G11&lt;=B133,'班次明細'!H11&gt;=C133),1,0),0)+IF(LEFT('班次明細'!O18,2)="外場",IF(AND('班次明細'!L18&gt;0,'班次明細'!G18&lt;=B133,'班次明細'!H18&gt;=C133),1,0),0)+IF(LEFT('班次明細'!O25,2)="外場",IF(AND('班次明細'!L25&gt;0,'班次明細'!G25&lt;=B133,'班次明細'!H25&gt;=C133),1,0),0)+IF(LEFT('班次明細'!O32,2)="外場",IF(AND('班次明細'!L32&gt;0,'班次明細'!G32&lt;=B133,'班次明細'!H32&gt;=C133),1,0),0)+IF(LEFT('班次明細'!O39,2)="外場",IF(AND('班次明細'!L39&gt;0,'班次明細'!G39&lt;=B133,'班次明細'!H39&gt;=C133),1,0),0)+IF(LEFT('班次明細'!O46,2)="外場",IF(AND('班次明細'!L46&gt;0,'班次明細'!G46&lt;=B133,'班次明細'!H46&gt;=C133),1,0),0)+IF(LEFT('班次明細'!O53,2)="外場",IF(AND('班次明細'!L53&gt;0,'班次明細'!G53&lt;=B133,'班次明細'!H53&gt;=C133),1,0),0)+IF(LEFT('班次明細'!O60,2)="外場",IF(AND('班次明細'!L60&gt;0,'班次明細'!G60&lt;=B133,'班次明細'!H60&gt;=C133),1,0),0)+IF(LEFT('班次明細'!O67,2)="外場",IF(AND('班次明細'!L67&gt;0,'班次明細'!G67&lt;=B133,'班次明細'!H67&gt;=C133),1,0),0)+IF(LEFT('班次明細'!O74,2)="外場",IF(AND('班次明細'!L74&gt;0,'班次明細'!G74&lt;=B133,'班次明細'!H74&gt;=C133),1,0),0)+IF(LEFT('班次明細'!O81,2)="外場",IF(AND('班次明細'!L81&gt;0,'班次明細'!G81&lt;=B133,'班次明細'!H81&gt;=C133),1,0),0))&gt;0,0,1)+IF((IF(LEFT('班次明細'!O11,2)="吧台",IF(AND('班次明細'!L11&gt;0,'班次明細'!G11&lt;=B133,'班次明細'!H11&gt;=C133),1,0),0)+IF(LEFT('班次明細'!O18,2)="吧台",IF(AND('班次明細'!L18&gt;0,'班次明細'!G18&lt;=B133,'班次明細'!H18&gt;=C133),1,0),0)+IF(LEFT('班次明細'!O25,2)="吧台",IF(AND('班次明細'!L25&gt;0,'班次明細'!G25&lt;=B133,'班次明細'!H25&gt;=C133),1,0),0)+IF(LEFT('班次明細'!O32,2)="吧台",IF(AND('班次明細'!L32&gt;0,'班次明細'!G32&lt;=B133,'班次明細'!H32&gt;=C133),1,0),0)+IF(LEFT('班次明細'!O39,2)="吧台",IF(AND('班次明細'!L39&gt;0,'班次明細'!G39&lt;=B133,'班次明細'!H39&gt;=C133),1,0),0)+IF(LEFT('班次明細'!O46,2)="吧台",IF(AND('班次明細'!L46&gt;0,'班次明細'!G46&lt;=B133,'班次明細'!H46&gt;=C133),1,0),0)+IF(LEFT('班次明細'!O53,2)="吧台",IF(AND('班次明細'!L53&gt;0,'班次明細'!G53&lt;=B133,'班次明細'!H53&gt;=C133),1,0),0)+IF(LEFT('班次明細'!O60,2)="吧台",IF(AND('班次明細'!L60&gt;0,'班次明細'!G60&lt;=B133,'班次明細'!H60&gt;=C133),1,0),0)+IF(LEFT('班次明細'!O67,2)="吧台",IF(AND('班次明細'!L67&gt;0,'班次明細'!G67&lt;=B133,'班次明細'!H67&gt;=C133),1,0),0)+IF(LEFT('班次明細'!O74,2)="吧台",IF(AND('班次明細'!L74&gt;0,'班次明細'!G74&lt;=B133,'班次明細'!H74&gt;=C133),1,0),0)+IF(LEFT('班次明細'!O81,2)="吧台",IF(AND('班次明細'!L81&gt;0,'班次明細'!G81&lt;=B133,'班次明細'!H81&gt;=C133),1,0),0))&gt;0,0,1)+IF((IF(LEFT('班次明細'!O11,2)="司爐",IF(AND('班次明細'!L11&gt;0,'班次明細'!G11&lt;=B133,'班次明細'!H11&gt;=C133),1,0),0)+IF(LEFT('班次明細'!O18,2)="司爐",IF(AND('班次明細'!L18&gt;0,'班次明細'!G18&lt;=B133,'班次明細'!H18&gt;=C133),1,0),0)+IF(LEFT('班次明細'!O25,2)="司爐",IF(AND('班次明細'!L25&gt;0,'班次明細'!G25&lt;=B133,'班次明細'!H25&gt;=C133),1,0),0)+IF(LEFT('班次明細'!O32,2)="司爐",IF(AND('班次明細'!L32&gt;0,'班次明細'!G32&lt;=B133,'班次明細'!H32&gt;=C133),1,0),0)+IF(LEFT('班次明細'!O39,2)="司爐",IF(AND('班次明細'!L39&gt;0,'班次明細'!G39&lt;=B133,'班次明細'!H39&gt;=C133),1,0),0)+IF(LEFT('班次明細'!O46,2)="司爐",IF(AND('班次明細'!L46&gt;0,'班次明細'!G46&lt;=B133,'班次明細'!H46&gt;=C133),1,0),0)+IF(LEFT('班次明細'!O53,2)="司爐",IF(AND('班次明細'!L53&gt;0,'班次明細'!G53&lt;=B133,'班次明細'!H53&gt;=C133),1,0),0)+IF(LEFT('班次明細'!O60,2)="司爐",IF(AND('班次明細'!L60&gt;0,'班次明細'!G60&lt;=B133,'班次明細'!H60&gt;=C133),1,0),0)+IF(LEFT('班次明細'!O67,2)="司爐",IF(AND('班次明細'!L67&gt;0,'班次明細'!G67&lt;=B133,'班次明細'!H67&gt;=C133),1,0),0)+IF(LEFT('班次明細'!O74,2)="司爐",IF(AND('班次明細'!L74&gt;0,'班次明細'!G74&lt;=B133,'班次明細'!H74&gt;=C133),1,0),0)+IF(LEFT('班次明細'!O81,2)="司爐",IF(AND('班次明細'!L81&gt;0,'班次明細'!G81&lt;=B133,'班次明細'!H81&gt;=C133),1,0),0))&gt;0,0,1)+IF((IF(LEFT('班次明細'!O11,2)="料區",IF(AND('班次明細'!L11&gt;0,'班次明細'!G11&lt;=B133,'班次明細'!H11&gt;=C133),1,0),0)+IF(LEFT('班次明細'!O18,2)="料區",IF(AND('班次明細'!L18&gt;0,'班次明細'!G18&lt;=B133,'班次明細'!H18&gt;=C133),1,0),0)+IF(LEFT('班次明細'!O25,2)="料區",IF(AND('班次明細'!L25&gt;0,'班次明細'!G25&lt;=B133,'班次明細'!H25&gt;=C133),1,0),0)+IF(LEFT('班次明細'!O32,2)="料區",IF(AND('班次明細'!L32&gt;0,'班次明細'!G32&lt;=B133,'班次明細'!H32&gt;=C133),1,0),0)+IF(LEFT('班次明細'!O39,2)="料區",IF(AND('班次明細'!L39&gt;0,'班次明細'!G39&lt;=B133,'班次明細'!H39&gt;=C133),1,0),0)+IF(LEFT('班次明細'!O46,2)="料區",IF(AND('班次明細'!L46&gt;0,'班次明細'!G46&lt;=B133,'班次明細'!H46&gt;=C133),1,0),0)+IF(LEFT('班次明細'!O53,2)="料區",IF(AND('班次明細'!L53&gt;0,'班次明細'!G53&lt;=B133,'班次明細'!H53&gt;=C133),1,0),0)+IF(LEFT('班次明細'!O60,2)="料區",IF(AND('班次明細'!L60&gt;0,'班次明細'!G60&lt;=B133,'班次明細'!H60&gt;=C133),1,0),0)+IF(LEFT('班次明細'!O67,2)="料區",IF(AND('班次明細'!L67&gt;0,'班次明細'!G67&lt;=B133,'班次明細'!H67&gt;=C133),1,0),0)+IF(LEFT('班次明細'!O74,2)="料區",IF(AND('班次明細'!L74&gt;0,'班次明細'!G74&lt;=B133,'班次明細'!H74&gt;=C133),1,0),0)+IF(LEFT('班次明細'!O81,2)="料區",IF(AND('班次明細'!L81&gt;0,'班次明細'!G81&lt;=B133,'班次明細'!H81&gt;=C133),1,0),0))&gt;0,0,1)+IF((IF(LEFT('班次明細'!O11,2)="炸區",IF(AND('班次明細'!L11&gt;0,'班次明細'!G11&lt;=B133,'班次明細'!H11&gt;=C133),1,0),0)+IF(LEFT('班次明細'!O18,2)="炸區",IF(AND('班次明細'!L18&gt;0,'班次明細'!G18&lt;=B133,'班次明細'!H18&gt;=C133),1,0),0)+IF(LEFT('班次明細'!O25,2)="炸區",IF(AND('班次明細'!L25&gt;0,'班次明細'!G25&lt;=B133,'班次明細'!H25&gt;=C133),1,0),0)+IF(LEFT('班次明細'!O32,2)="炸區",IF(AND('班次明細'!L32&gt;0,'班次明細'!G32&lt;=B133,'班次明細'!H32&gt;=C133),1,0),0)+IF(LEFT('班次明細'!O39,2)="炸區",IF(AND('班次明細'!L39&gt;0,'班次明細'!G39&lt;=B133,'班次明細'!H39&gt;=C133),1,0),0)+IF(LEFT('班次明細'!O46,2)="炸區",IF(AND('班次明細'!L46&gt;0,'班次明細'!G46&lt;=B133,'班次明細'!H46&gt;=C133),1,0),0)+IF(LEFT('班次明細'!O53,2)="炸區",IF(AND('班次明細'!L53&gt;0,'班次明細'!G53&lt;=B133,'班次明細'!H53&gt;=C133),1,0),0)+IF(LEFT('班次明細'!O60,2)="炸區",IF(AND('班次明細'!L60&gt;0,'班次明細'!G60&lt;=B133,'班次明細'!H60&gt;=C133),1,0),0)+IF(LEFT('班次明細'!O67,2)="炸區",IF(AND('班次明細'!L67&gt;0,'班次明細'!G67&lt;=B133,'班次明細'!H67&gt;=C133),1,0),0)+IF(LEFT('班次明細'!O74,2)="炸區",IF(AND('班次明細'!L74&gt;0,'班次明細'!G74&lt;=B133,'班次明細'!H74&gt;=C133),1,0),0)+IF(LEFT('班次明細'!O81,2)="炸區",IF(AND('班次明細'!L81&gt;0,'班次明細'!G81&lt;=B133,'班次明細'!H81&gt;=C133),1,0),0))&gt;0,0,1)+IF((IF(LEFT('班次明細'!O11,2)="拍區",IF(AND('班次明細'!L11&gt;0,'班次明細'!G11&lt;=B133,'班次明細'!H11&gt;=C133),1,0),0)+IF(LEFT('班次明細'!O18,2)="拍區",IF(AND('班次明細'!L18&gt;0,'班次明細'!G18&lt;=B133,'班次明細'!H18&gt;=C133),1,0),0)+IF(LEFT('班次明細'!O25,2)="拍區",IF(AND('班次明細'!L25&gt;0,'班次明細'!G25&lt;=B133,'班次明細'!H25&gt;=C133),1,0),0)+IF(LEFT('班次明細'!O32,2)="拍區",IF(AND('班次明細'!L32&gt;0,'班次明細'!G32&lt;=B133,'班次明細'!H32&gt;=C133),1,0),0)+IF(LEFT('班次明細'!O39,2)="拍區",IF(AND('班次明細'!L39&gt;0,'班次明細'!G39&lt;=B133,'班次明細'!H39&gt;=C133),1,0),0)+IF(LEFT('班次明細'!O46,2)="拍區",IF(AND('班次明細'!L46&gt;0,'班次明細'!G46&lt;=B133,'班次明細'!H46&gt;=C133),1,0),0)+IF(LEFT('班次明細'!O53,2)="拍區",IF(AND('班次明細'!L53&gt;0,'班次明細'!G53&lt;=B133,'班次明細'!H53&gt;=C133),1,0),0)+IF(LEFT('班次明細'!O60,2)="拍區",IF(AND('班次明細'!L60&gt;0,'班次明細'!G60&lt;=B133,'班次明細'!H60&gt;=C133),1,0),0)+IF(LEFT('班次明細'!O67,2)="拍區",IF(AND('班次明細'!L67&gt;0,'班次明細'!G67&lt;=B133,'班次明細'!H67&gt;=C133),1,0),0)+IF(LEFT('班次明細'!O74,2)="拍區",IF(AND('班次明細'!L74&gt;0,'班次明細'!G74&lt;=B133,'班次明細'!H74&gt;=C133),1,0),0)+IF(LEFT('班次明細'!O81,2)="拍區",IF(AND('班次明細'!L81&gt;0,'班次明細'!G81&lt;=B133,'班次明細'!H81&gt;=C133),1,0),0))&gt;0,0,1)+IF(G133&lt;7,0,IF((IF(LEFT('班次明細'!O11,2)="控場",IF(AND('班次明細'!L11&gt;0,'班次明細'!G11&lt;=B133,'班次明細'!H11&gt;=C133),1,0),0)+IF(LEFT('班次明細'!O18,2)="控場",IF(AND('班次明細'!L18&gt;0,'班次明細'!G18&lt;=B133,'班次明細'!H18&gt;=C133),1,0),0)+IF(LEFT('班次明細'!O25,2)="控場",IF(AND('班次明細'!L25&gt;0,'班次明細'!G25&lt;=B133,'班次明細'!H25&gt;=C133),1,0),0)+IF(LEFT('班次明細'!O32,2)="控場",IF(AND('班次明細'!L32&gt;0,'班次明細'!G32&lt;=B133,'班次明細'!H32&gt;=C133),1,0),0)+IF(LEFT('班次明細'!O39,2)="控場",IF(AND('班次明細'!L39&gt;0,'班次明細'!G39&lt;=B133,'班次明細'!H39&gt;=C133),1,0),0)+IF(LEFT('班次明細'!O46,2)="控場",IF(AND('班次明細'!L46&gt;0,'班次明細'!G46&lt;=B133,'班次明細'!H46&gt;=C133),1,0),0)+IF(LEFT('班次明細'!O53,2)="控場",IF(AND('班次明細'!L53&gt;0,'班次明細'!G53&lt;=B133,'班次明細'!H53&gt;=C133),1,0),0)+IF(LEFT('班次明細'!O60,2)="控場",IF(AND('班次明細'!L60&gt;0,'班次明細'!G60&lt;=B133,'班次明細'!H60&gt;=C133),1,0),0)+IF(LEFT('班次明細'!O67,2)="控場",IF(AND('班次明細'!L67&gt;0,'班次明細'!G67&lt;=B133,'班次明細'!H67&gt;=C133),1,0),0)+IF(LEFT('班次明細'!O74,2)="控場",IF(AND('班次明細'!L74&gt;0,'班次明細'!G74&lt;=B133,'班次明細'!H74&gt;=C133),1,0),0)+IF(LEFT('班次明細'!O81,2)="控場",IF(AND('班次明細'!L81&gt;0,'班次明細'!G81&lt;=B133,'班次明細'!H81&gt;=C133),1,0),0))&gt;0,0,1))</x:f>
        <x:v>0</x:v>
      </x:c>
      <x:c r="K133" s="11" t="str">
        <x:v>P01:外場；P03:吧台；P04:控場；P05:炸區；P06:料區；P09:拍區；P10:司爐</x:v>
      </x:c>
      <x:c r="L133" s="11" t="str">
        <x:f>IF(OR(H133&gt;0,I133&gt;0,J133&gt;0),"缺口／超額待處理","主崗齊；休息待現場")</x:f>
        <x:v>主崗齊；休息待現場</x:v>
      </x:c>
    </x:row>
    <x:row r="134" ht="42" customHeight="1">
      <x:c r="A134" s="12" t="n">
        <x:v>46319</x:v>
      </x:c>
      <x:c r="B134" s="13" t="n">
        <x:v>0.5833333333333334</x:v>
      </x:c>
      <x:c r="C134" s="13" t="n">
        <x:v>0.6041666666666666</x:v>
      </x:c>
      <x:c r="D134" s="2" t="str">
        <x:v>午餐主崗</x:v>
      </x:c>
      <x:c r="E134" s="2" t="n">
        <x:v>6</x:v>
      </x:c>
      <x:c r="F134" s="2" t="n">
        <x:v>7</x:v>
      </x:c>
      <x:c r="G134" s="2" t="n">
        <x:f>IF(AND('班次明細'!L11&gt;0,'班次明細'!G11&lt;=B134,'班次明細'!H11&gt;=C134),1,0)+IF(AND('班次明細'!L18&gt;0,'班次明細'!G18&lt;=B134,'班次明細'!H18&gt;=C134),1,0)+IF(AND('班次明細'!L25&gt;0,'班次明細'!G25&lt;=B134,'班次明細'!H25&gt;=C134),1,0)+IF(AND('班次明細'!L32&gt;0,'班次明細'!G32&lt;=B134,'班次明細'!H32&gt;=C134),1,0)+IF(AND('班次明細'!L39&gt;0,'班次明細'!G39&lt;=B134,'班次明細'!H39&gt;=C134),1,0)+IF(AND('班次明細'!L46&gt;0,'班次明細'!G46&lt;=B134,'班次明細'!H46&gt;=C134),1,0)+IF(AND('班次明細'!L53&gt;0,'班次明細'!G53&lt;=B134,'班次明細'!H53&gt;=C134),1,0)+IF(AND('班次明細'!L60&gt;0,'班次明細'!G60&lt;=B134,'班次明細'!H60&gt;=C134),1,0)+IF(AND('班次明細'!L67&gt;0,'班次明細'!G67&lt;=B134,'班次明細'!H67&gt;=C134),1,0)+IF(AND('班次明細'!L74&gt;0,'班次明細'!G74&lt;=B134,'班次明細'!H74&gt;=C134),1,0)+IF(AND('班次明細'!L81&gt;0,'班次明細'!G81&lt;=B134,'班次明細'!H81&gt;=C134),1,0)</x:f>
        <x:v>7</x:v>
      </x:c>
      <x:c r="H134" s="2" t="n">
        <x:f>MAX(0,E134-G134)</x:f>
        <x:v>0</x:v>
      </x:c>
      <x:c r="I134" s="2" t="n">
        <x:f>IF(F134="",0,MAX(0,G134-F134))</x:f>
        <x:v>0</x:v>
      </x:c>
      <x:c r="J134" s="2" t="n">
        <x:f>IF((IF(LEFT('班次明細'!O11,2)="外場",IF(AND('班次明細'!L11&gt;0,'班次明細'!G11&lt;=B134,'班次明細'!H11&gt;=C134),1,0),0)+IF(LEFT('班次明細'!O18,2)="外場",IF(AND('班次明細'!L18&gt;0,'班次明細'!G18&lt;=B134,'班次明細'!H18&gt;=C134),1,0),0)+IF(LEFT('班次明細'!O25,2)="外場",IF(AND('班次明細'!L25&gt;0,'班次明細'!G25&lt;=B134,'班次明細'!H25&gt;=C134),1,0),0)+IF(LEFT('班次明細'!O32,2)="外場",IF(AND('班次明細'!L32&gt;0,'班次明細'!G32&lt;=B134,'班次明細'!H32&gt;=C134),1,0),0)+IF(LEFT('班次明細'!O39,2)="外場",IF(AND('班次明細'!L39&gt;0,'班次明細'!G39&lt;=B134,'班次明細'!H39&gt;=C134),1,0),0)+IF(LEFT('班次明細'!O46,2)="外場",IF(AND('班次明細'!L46&gt;0,'班次明細'!G46&lt;=B134,'班次明細'!H46&gt;=C134),1,0),0)+IF(LEFT('班次明細'!O53,2)="外場",IF(AND('班次明細'!L53&gt;0,'班次明細'!G53&lt;=B134,'班次明細'!H53&gt;=C134),1,0),0)+IF(LEFT('班次明細'!O60,2)="外場",IF(AND('班次明細'!L60&gt;0,'班次明細'!G60&lt;=B134,'班次明細'!H60&gt;=C134),1,0),0)+IF(LEFT('班次明細'!O67,2)="外場",IF(AND('班次明細'!L67&gt;0,'班次明細'!G67&lt;=B134,'班次明細'!H67&gt;=C134),1,0),0)+IF(LEFT('班次明細'!O74,2)="外場",IF(AND('班次明細'!L74&gt;0,'班次明細'!G74&lt;=B134,'班次明細'!H74&gt;=C134),1,0),0)+IF(LEFT('班次明細'!O81,2)="外場",IF(AND('班次明細'!L81&gt;0,'班次明細'!G81&lt;=B134,'班次明細'!H81&gt;=C134),1,0),0))&gt;0,0,1)+IF((IF(LEFT('班次明細'!O11,2)="吧台",IF(AND('班次明細'!L11&gt;0,'班次明細'!G11&lt;=B134,'班次明細'!H11&gt;=C134),1,0),0)+IF(LEFT('班次明細'!O18,2)="吧台",IF(AND('班次明細'!L18&gt;0,'班次明細'!G18&lt;=B134,'班次明細'!H18&gt;=C134),1,0),0)+IF(LEFT('班次明細'!O25,2)="吧台",IF(AND('班次明細'!L25&gt;0,'班次明細'!G25&lt;=B134,'班次明細'!H25&gt;=C134),1,0),0)+IF(LEFT('班次明細'!O32,2)="吧台",IF(AND('班次明細'!L32&gt;0,'班次明細'!G32&lt;=B134,'班次明細'!H32&gt;=C134),1,0),0)+IF(LEFT('班次明細'!O39,2)="吧台",IF(AND('班次明細'!L39&gt;0,'班次明細'!G39&lt;=B134,'班次明細'!H39&gt;=C134),1,0),0)+IF(LEFT('班次明細'!O46,2)="吧台",IF(AND('班次明細'!L46&gt;0,'班次明細'!G46&lt;=B134,'班次明細'!H46&gt;=C134),1,0),0)+IF(LEFT('班次明細'!O53,2)="吧台",IF(AND('班次明細'!L53&gt;0,'班次明細'!G53&lt;=B134,'班次明細'!H53&gt;=C134),1,0),0)+IF(LEFT('班次明細'!O60,2)="吧台",IF(AND('班次明細'!L60&gt;0,'班次明細'!G60&lt;=B134,'班次明細'!H60&gt;=C134),1,0),0)+IF(LEFT('班次明細'!O67,2)="吧台",IF(AND('班次明細'!L67&gt;0,'班次明細'!G67&lt;=B134,'班次明細'!H67&gt;=C134),1,0),0)+IF(LEFT('班次明細'!O74,2)="吧台",IF(AND('班次明細'!L74&gt;0,'班次明細'!G74&lt;=B134,'班次明細'!H74&gt;=C134),1,0),0)+IF(LEFT('班次明細'!O81,2)="吧台",IF(AND('班次明細'!L81&gt;0,'班次明細'!G81&lt;=B134,'班次明細'!H81&gt;=C134),1,0),0))&gt;0,0,1)+IF((IF(LEFT('班次明細'!O11,2)="司爐",IF(AND('班次明細'!L11&gt;0,'班次明細'!G11&lt;=B134,'班次明細'!H11&gt;=C134),1,0),0)+IF(LEFT('班次明細'!O18,2)="司爐",IF(AND('班次明細'!L18&gt;0,'班次明細'!G18&lt;=B134,'班次明細'!H18&gt;=C134),1,0),0)+IF(LEFT('班次明細'!O25,2)="司爐",IF(AND('班次明細'!L25&gt;0,'班次明細'!G25&lt;=B134,'班次明細'!H25&gt;=C134),1,0),0)+IF(LEFT('班次明細'!O32,2)="司爐",IF(AND('班次明細'!L32&gt;0,'班次明細'!G32&lt;=B134,'班次明細'!H32&gt;=C134),1,0),0)+IF(LEFT('班次明細'!O39,2)="司爐",IF(AND('班次明細'!L39&gt;0,'班次明細'!G39&lt;=B134,'班次明細'!H39&gt;=C134),1,0),0)+IF(LEFT('班次明細'!O46,2)="司爐",IF(AND('班次明細'!L46&gt;0,'班次明細'!G46&lt;=B134,'班次明細'!H46&gt;=C134),1,0),0)+IF(LEFT('班次明細'!O53,2)="司爐",IF(AND('班次明細'!L53&gt;0,'班次明細'!G53&lt;=B134,'班次明細'!H53&gt;=C134),1,0),0)+IF(LEFT('班次明細'!O60,2)="司爐",IF(AND('班次明細'!L60&gt;0,'班次明細'!G60&lt;=B134,'班次明細'!H60&gt;=C134),1,0),0)+IF(LEFT('班次明細'!O67,2)="司爐",IF(AND('班次明細'!L67&gt;0,'班次明細'!G67&lt;=B134,'班次明細'!H67&gt;=C134),1,0),0)+IF(LEFT('班次明細'!O74,2)="司爐",IF(AND('班次明細'!L74&gt;0,'班次明細'!G74&lt;=B134,'班次明細'!H74&gt;=C134),1,0),0)+IF(LEFT('班次明細'!O81,2)="司爐",IF(AND('班次明細'!L81&gt;0,'班次明細'!G81&lt;=B134,'班次明細'!H81&gt;=C134),1,0),0))&gt;0,0,1)+IF((IF(LEFT('班次明細'!O11,2)="料區",IF(AND('班次明細'!L11&gt;0,'班次明細'!G11&lt;=B134,'班次明細'!H11&gt;=C134),1,0),0)+IF(LEFT('班次明細'!O18,2)="料區",IF(AND('班次明細'!L18&gt;0,'班次明細'!G18&lt;=B134,'班次明細'!H18&gt;=C134),1,0),0)+IF(LEFT('班次明細'!O25,2)="料區",IF(AND('班次明細'!L25&gt;0,'班次明細'!G25&lt;=B134,'班次明細'!H25&gt;=C134),1,0),0)+IF(LEFT('班次明細'!O32,2)="料區",IF(AND('班次明細'!L32&gt;0,'班次明細'!G32&lt;=B134,'班次明細'!H32&gt;=C134),1,0),0)+IF(LEFT('班次明細'!O39,2)="料區",IF(AND('班次明細'!L39&gt;0,'班次明細'!G39&lt;=B134,'班次明細'!H39&gt;=C134),1,0),0)+IF(LEFT('班次明細'!O46,2)="料區",IF(AND('班次明細'!L46&gt;0,'班次明細'!G46&lt;=B134,'班次明細'!H46&gt;=C134),1,0),0)+IF(LEFT('班次明細'!O53,2)="料區",IF(AND('班次明細'!L53&gt;0,'班次明細'!G53&lt;=B134,'班次明細'!H53&gt;=C134),1,0),0)+IF(LEFT('班次明細'!O60,2)="料區",IF(AND('班次明細'!L60&gt;0,'班次明細'!G60&lt;=B134,'班次明細'!H60&gt;=C134),1,0),0)+IF(LEFT('班次明細'!O67,2)="料區",IF(AND('班次明細'!L67&gt;0,'班次明細'!G67&lt;=B134,'班次明細'!H67&gt;=C134),1,0),0)+IF(LEFT('班次明細'!O74,2)="料區",IF(AND('班次明細'!L74&gt;0,'班次明細'!G74&lt;=B134,'班次明細'!H74&gt;=C134),1,0),0)+IF(LEFT('班次明細'!O81,2)="料區",IF(AND('班次明細'!L81&gt;0,'班次明細'!G81&lt;=B134,'班次明細'!H81&gt;=C134),1,0),0))&gt;0,0,1)+IF((IF(LEFT('班次明細'!O11,2)="炸區",IF(AND('班次明細'!L11&gt;0,'班次明細'!G11&lt;=B134,'班次明細'!H11&gt;=C134),1,0),0)+IF(LEFT('班次明細'!O18,2)="炸區",IF(AND('班次明細'!L18&gt;0,'班次明細'!G18&lt;=B134,'班次明細'!H18&gt;=C134),1,0),0)+IF(LEFT('班次明細'!O25,2)="炸區",IF(AND('班次明細'!L25&gt;0,'班次明細'!G25&lt;=B134,'班次明細'!H25&gt;=C134),1,0),0)+IF(LEFT('班次明細'!O32,2)="炸區",IF(AND('班次明細'!L32&gt;0,'班次明細'!G32&lt;=B134,'班次明細'!H32&gt;=C134),1,0),0)+IF(LEFT('班次明細'!O39,2)="炸區",IF(AND('班次明細'!L39&gt;0,'班次明細'!G39&lt;=B134,'班次明細'!H39&gt;=C134),1,0),0)+IF(LEFT('班次明細'!O46,2)="炸區",IF(AND('班次明細'!L46&gt;0,'班次明細'!G46&lt;=B134,'班次明細'!H46&gt;=C134),1,0),0)+IF(LEFT('班次明細'!O53,2)="炸區",IF(AND('班次明細'!L53&gt;0,'班次明細'!G53&lt;=B134,'班次明細'!H53&gt;=C134),1,0),0)+IF(LEFT('班次明細'!O60,2)="炸區",IF(AND('班次明細'!L60&gt;0,'班次明細'!G60&lt;=B134,'班次明細'!H60&gt;=C134),1,0),0)+IF(LEFT('班次明細'!O67,2)="炸區",IF(AND('班次明細'!L67&gt;0,'班次明細'!G67&lt;=B134,'班次明細'!H67&gt;=C134),1,0),0)+IF(LEFT('班次明細'!O74,2)="炸區",IF(AND('班次明細'!L74&gt;0,'班次明細'!G74&lt;=B134,'班次明細'!H74&gt;=C134),1,0),0)+IF(LEFT('班次明細'!O81,2)="炸區",IF(AND('班次明細'!L81&gt;0,'班次明細'!G81&lt;=B134,'班次明細'!H81&gt;=C134),1,0),0))&gt;0,0,1)+IF((IF(LEFT('班次明細'!O11,2)="拍區",IF(AND('班次明細'!L11&gt;0,'班次明細'!G11&lt;=B134,'班次明細'!H11&gt;=C134),1,0),0)+IF(LEFT('班次明細'!O18,2)="拍區",IF(AND('班次明細'!L18&gt;0,'班次明細'!G18&lt;=B134,'班次明細'!H18&gt;=C134),1,0),0)+IF(LEFT('班次明細'!O25,2)="拍區",IF(AND('班次明細'!L25&gt;0,'班次明細'!G25&lt;=B134,'班次明細'!H25&gt;=C134),1,0),0)+IF(LEFT('班次明細'!O32,2)="拍區",IF(AND('班次明細'!L32&gt;0,'班次明細'!G32&lt;=B134,'班次明細'!H32&gt;=C134),1,0),0)+IF(LEFT('班次明細'!O39,2)="拍區",IF(AND('班次明細'!L39&gt;0,'班次明細'!G39&lt;=B134,'班次明細'!H39&gt;=C134),1,0),0)+IF(LEFT('班次明細'!O46,2)="拍區",IF(AND('班次明細'!L46&gt;0,'班次明細'!G46&lt;=B134,'班次明細'!H46&gt;=C134),1,0),0)+IF(LEFT('班次明細'!O53,2)="拍區",IF(AND('班次明細'!L53&gt;0,'班次明細'!G53&lt;=B134,'班次明細'!H53&gt;=C134),1,0),0)+IF(LEFT('班次明細'!O60,2)="拍區",IF(AND('班次明細'!L60&gt;0,'班次明細'!G60&lt;=B134,'班次明細'!H60&gt;=C134),1,0),0)+IF(LEFT('班次明細'!O67,2)="拍區",IF(AND('班次明細'!L67&gt;0,'班次明細'!G67&lt;=B134,'班次明細'!H67&gt;=C134),1,0),0)+IF(LEFT('班次明細'!O74,2)="拍區",IF(AND('班次明細'!L74&gt;0,'班次明細'!G74&lt;=B134,'班次明細'!H74&gt;=C134),1,0),0)+IF(LEFT('班次明細'!O81,2)="拍區",IF(AND('班次明細'!L81&gt;0,'班次明細'!G81&lt;=B134,'班次明細'!H81&gt;=C134),1,0),0))&gt;0,0,1)+IF(G134&lt;7,0,IF((IF(LEFT('班次明細'!O11,2)="控場",IF(AND('班次明細'!L11&gt;0,'班次明細'!G11&lt;=B134,'班次明細'!H11&gt;=C134),1,0),0)+IF(LEFT('班次明細'!O18,2)="控場",IF(AND('班次明細'!L18&gt;0,'班次明細'!G18&lt;=B134,'班次明細'!H18&gt;=C134),1,0),0)+IF(LEFT('班次明細'!O25,2)="控場",IF(AND('班次明細'!L25&gt;0,'班次明細'!G25&lt;=B134,'班次明細'!H25&gt;=C134),1,0),0)+IF(LEFT('班次明細'!O32,2)="控場",IF(AND('班次明細'!L32&gt;0,'班次明細'!G32&lt;=B134,'班次明細'!H32&gt;=C134),1,0),0)+IF(LEFT('班次明細'!O39,2)="控場",IF(AND('班次明細'!L39&gt;0,'班次明細'!G39&lt;=B134,'班次明細'!H39&gt;=C134),1,0),0)+IF(LEFT('班次明細'!O46,2)="控場",IF(AND('班次明細'!L46&gt;0,'班次明細'!G46&lt;=B134,'班次明細'!H46&gt;=C134),1,0),0)+IF(LEFT('班次明細'!O53,2)="控場",IF(AND('班次明細'!L53&gt;0,'班次明細'!G53&lt;=B134,'班次明細'!H53&gt;=C134),1,0),0)+IF(LEFT('班次明細'!O60,2)="控場",IF(AND('班次明細'!L60&gt;0,'班次明細'!G60&lt;=B134,'班次明細'!H60&gt;=C134),1,0),0)+IF(LEFT('班次明細'!O67,2)="控場",IF(AND('班次明細'!L67&gt;0,'班次明細'!G67&lt;=B134,'班次明細'!H67&gt;=C134),1,0),0)+IF(LEFT('班次明細'!O74,2)="控場",IF(AND('班次明細'!L74&gt;0,'班次明細'!G74&lt;=B134,'班次明細'!H74&gt;=C134),1,0),0)+IF(LEFT('班次明細'!O81,2)="控場",IF(AND('班次明細'!L81&gt;0,'班次明細'!G81&lt;=B134,'班次明細'!H81&gt;=C134),1,0),0))&gt;0,0,1))</x:f>
        <x:v>0</x:v>
      </x:c>
      <x:c r="K134" s="11" t="str">
        <x:v>P01:外場；P03:吧台；P04:控場；P05:炸區；P06:料區；P09:拍區；P10:司爐</x:v>
      </x:c>
      <x:c r="L134" s="11" t="str">
        <x:f>IF(OR(H134&gt;0,I134&gt;0,J134&gt;0),"缺口／超額待處理","主崗齊；休息待現場")</x:f>
        <x:v>主崗齊；休息待現場</x:v>
      </x:c>
    </x:row>
    <x:row r="135" ht="42" customHeight="1">
      <x:c r="A135" s="12" t="n">
        <x:v>46319</x:v>
      </x:c>
      <x:c r="B135" s="13" t="n">
        <x:v>0.6041666666666666</x:v>
      </x:c>
      <x:c r="C135" s="13" t="n">
        <x:v>0.625</x:v>
      </x:c>
      <x:c r="D135" s="2" t="str">
        <x:v>營運參考</x:v>
      </x:c>
      <x:c r="E135" s="2" t="n">
        <x:v>0</x:v>
      </x:c>
      <x:c r="F135" s="2"/>
      <x:c r="G135" s="2" t="n">
        <x:f>IF(AND('班次明細'!L11&gt;0,'班次明細'!G11&lt;=B135,'班次明細'!H11&gt;=C135),1,0)+IF(AND('班次明細'!L18&gt;0,'班次明細'!G18&lt;=B135,'班次明細'!H18&gt;=C135),1,0)+IF(AND('班次明細'!L25&gt;0,'班次明細'!G25&lt;=B135,'班次明細'!H25&gt;=C135),1,0)+IF(AND('班次明細'!L32&gt;0,'班次明細'!G32&lt;=B135,'班次明細'!H32&gt;=C135),1,0)+IF(AND('班次明細'!L39&gt;0,'班次明細'!G39&lt;=B135,'班次明細'!H39&gt;=C135),1,0)+IF(AND('班次明細'!L46&gt;0,'班次明細'!G46&lt;=B135,'班次明細'!H46&gt;=C135),1,0)+IF(AND('班次明細'!L53&gt;0,'班次明細'!G53&lt;=B135,'班次明細'!H53&gt;=C135),1,0)+IF(AND('班次明細'!L60&gt;0,'班次明細'!G60&lt;=B135,'班次明細'!H60&gt;=C135),1,0)+IF(AND('班次明細'!L67&gt;0,'班次明細'!G67&lt;=B135,'班次明細'!H67&gt;=C135),1,0)+IF(AND('班次明細'!L74&gt;0,'班次明細'!G74&lt;=B135,'班次明細'!H74&gt;=C135),1,0)+IF(AND('班次明細'!L81&gt;0,'班次明細'!G81&lt;=B135,'班次明細'!H81&gt;=C135),1,0)</x:f>
        <x:v>7</x:v>
      </x:c>
      <x:c r="H135" s="2" t="n">
        <x:f>MAX(0,E135-G135)</x:f>
        <x:v>0</x:v>
      </x:c>
      <x:c r="I135" s="2" t="n">
        <x:f>IF(F135="",0,MAX(0,G135-F135))</x:f>
        <x:v>0</x:v>
      </x:c>
      <x:c r="J135" s="2" t="n">
        <x:v>0</x:v>
      </x:c>
      <x:c r="K135" s="11" t="str">
        <x:v>—</x:v>
      </x:c>
      <x:c r="L135" s="11" t="str">
        <x:f>"營運參考"</x:f>
        <x:v>營運參考</x:v>
      </x:c>
    </x:row>
    <x:row r="136" ht="42" customHeight="1">
      <x:c r="A136" s="12" t="n">
        <x:v>46319</x:v>
      </x:c>
      <x:c r="B136" s="13" t="n">
        <x:v>0.625</x:v>
      </x:c>
      <x:c r="C136" s="13" t="n">
        <x:v>0.6458333333333334</x:v>
      </x:c>
      <x:c r="D136" s="2" t="str">
        <x:v>營運參考</x:v>
      </x:c>
      <x:c r="E136" s="2" t="n">
        <x:v>0</x:v>
      </x:c>
      <x:c r="F136" s="2"/>
      <x:c r="G136" s="2" t="n">
        <x:f>IF(AND('班次明細'!L11&gt;0,'班次明細'!G11&lt;=B136,'班次明細'!H11&gt;=C136),1,0)+IF(AND('班次明細'!L18&gt;0,'班次明細'!G18&lt;=B136,'班次明細'!H18&gt;=C136),1,0)+IF(AND('班次明細'!L25&gt;0,'班次明細'!G25&lt;=B136,'班次明細'!H25&gt;=C136),1,0)+IF(AND('班次明細'!L32&gt;0,'班次明細'!G32&lt;=B136,'班次明細'!H32&gt;=C136),1,0)+IF(AND('班次明細'!L39&gt;0,'班次明細'!G39&lt;=B136,'班次明細'!H39&gt;=C136),1,0)+IF(AND('班次明細'!L46&gt;0,'班次明細'!G46&lt;=B136,'班次明細'!H46&gt;=C136),1,0)+IF(AND('班次明細'!L53&gt;0,'班次明細'!G53&lt;=B136,'班次明細'!H53&gt;=C136),1,0)+IF(AND('班次明細'!L60&gt;0,'班次明細'!G60&lt;=B136,'班次明細'!H60&gt;=C136),1,0)+IF(AND('班次明細'!L67&gt;0,'班次明細'!G67&lt;=B136,'班次明細'!H67&gt;=C136),1,0)+IF(AND('班次明細'!L74&gt;0,'班次明細'!G74&lt;=B136,'班次明細'!H74&gt;=C136),1,0)+IF(AND('班次明細'!L81&gt;0,'班次明細'!G81&lt;=B136,'班次明細'!H81&gt;=C136),1,0)</x:f>
        <x:v>7</x:v>
      </x:c>
      <x:c r="H136" s="2" t="n">
        <x:f>MAX(0,E136-G136)</x:f>
        <x:v>0</x:v>
      </x:c>
      <x:c r="I136" s="2" t="n">
        <x:f>IF(F136="",0,MAX(0,G136-F136))</x:f>
        <x:v>0</x:v>
      </x:c>
      <x:c r="J136" s="2" t="n">
        <x:v>0</x:v>
      </x:c>
      <x:c r="K136" s="11" t="str">
        <x:v>—</x:v>
      </x:c>
      <x:c r="L136" s="11" t="str">
        <x:f>"營運參考"</x:f>
        <x:v>營運參考</x:v>
      </x:c>
    </x:row>
    <x:row r="137" ht="42" customHeight="1">
      <x:c r="A137" s="12" t="n">
        <x:v>46319</x:v>
      </x:c>
      <x:c r="B137" s="13" t="n">
        <x:v>0.6458333333333334</x:v>
      </x:c>
      <x:c r="C137" s="13" t="n">
        <x:v>0.6666666666666666</x:v>
      </x:c>
      <x:c r="D137" s="2" t="str">
        <x:v>營運參考</x:v>
      </x:c>
      <x:c r="E137" s="2" t="n">
        <x:v>0</x:v>
      </x:c>
      <x:c r="F137" s="2"/>
      <x:c r="G137" s="2" t="n">
        <x:f>IF(AND('班次明細'!L11&gt;0,'班次明細'!G11&lt;=B137,'班次明細'!H11&gt;=C137),1,0)+IF(AND('班次明細'!L18&gt;0,'班次明細'!G18&lt;=B137,'班次明細'!H18&gt;=C137),1,0)+IF(AND('班次明細'!L25&gt;0,'班次明細'!G25&lt;=B137,'班次明細'!H25&gt;=C137),1,0)+IF(AND('班次明細'!L32&gt;0,'班次明細'!G32&lt;=B137,'班次明細'!H32&gt;=C137),1,0)+IF(AND('班次明細'!L39&gt;0,'班次明細'!G39&lt;=B137,'班次明細'!H39&gt;=C137),1,0)+IF(AND('班次明細'!L46&gt;0,'班次明細'!G46&lt;=B137,'班次明細'!H46&gt;=C137),1,0)+IF(AND('班次明細'!L53&gt;0,'班次明細'!G53&lt;=B137,'班次明細'!H53&gt;=C137),1,0)+IF(AND('班次明細'!L60&gt;0,'班次明細'!G60&lt;=B137,'班次明細'!H60&gt;=C137),1,0)+IF(AND('班次明細'!L67&gt;0,'班次明細'!G67&lt;=B137,'班次明細'!H67&gt;=C137),1,0)+IF(AND('班次明細'!L74&gt;0,'班次明細'!G74&lt;=B137,'班次明細'!H74&gt;=C137),1,0)+IF(AND('班次明細'!L81&gt;0,'班次明細'!G81&lt;=B137,'班次明細'!H81&gt;=C137),1,0)</x:f>
        <x:v>6</x:v>
      </x:c>
      <x:c r="H137" s="2" t="n">
        <x:f>MAX(0,E137-G137)</x:f>
        <x:v>0</x:v>
      </x:c>
      <x:c r="I137" s="2" t="n">
        <x:f>IF(F137="",0,MAX(0,G137-F137))</x:f>
        <x:v>0</x:v>
      </x:c>
      <x:c r="J137" s="2" t="n">
        <x:v>0</x:v>
      </x:c>
      <x:c r="K137" s="11" t="str">
        <x:v>—</x:v>
      </x:c>
      <x:c r="L137" s="11" t="str">
        <x:f>"營運參考"</x:f>
        <x:v>營運參考</x:v>
      </x:c>
    </x:row>
    <x:row r="138" ht="42" customHeight="1">
      <x:c r="A138" s="12" t="n">
        <x:v>46319</x:v>
      </x:c>
      <x:c r="B138" s="13" t="n">
        <x:v>0.6666666666666666</x:v>
      </x:c>
      <x:c r="C138" s="13" t="n">
        <x:v>0.6875</x:v>
      </x:c>
      <x:c r="D138" s="2" t="str">
        <x:v>營運參考</x:v>
      </x:c>
      <x:c r="E138" s="2" t="n">
        <x:v>0</x:v>
      </x:c>
      <x:c r="F138" s="2"/>
      <x:c r="G138" s="2" t="n">
        <x:f>IF(AND('班次明細'!L11&gt;0,'班次明細'!G11&lt;=B138,'班次明細'!H11&gt;=C138),1,0)+IF(AND('班次明細'!L18&gt;0,'班次明細'!G18&lt;=B138,'班次明細'!H18&gt;=C138),1,0)+IF(AND('班次明細'!L25&gt;0,'班次明細'!G25&lt;=B138,'班次明細'!H25&gt;=C138),1,0)+IF(AND('班次明細'!L32&gt;0,'班次明細'!G32&lt;=B138,'班次明細'!H32&gt;=C138),1,0)+IF(AND('班次明細'!L39&gt;0,'班次明細'!G39&lt;=B138,'班次明細'!H39&gt;=C138),1,0)+IF(AND('班次明細'!L46&gt;0,'班次明細'!G46&lt;=B138,'班次明細'!H46&gt;=C138),1,0)+IF(AND('班次明細'!L53&gt;0,'班次明細'!G53&lt;=B138,'班次明細'!H53&gt;=C138),1,0)+IF(AND('班次明細'!L60&gt;0,'班次明細'!G60&lt;=B138,'班次明細'!H60&gt;=C138),1,0)+IF(AND('班次明細'!L67&gt;0,'班次明細'!G67&lt;=B138,'班次明細'!H67&gt;=C138),1,0)+IF(AND('班次明細'!L74&gt;0,'班次明細'!G74&lt;=B138,'班次明細'!H74&gt;=C138),1,0)+IF(AND('班次明細'!L81&gt;0,'班次明細'!G81&lt;=B138,'班次明細'!H81&gt;=C138),1,0)</x:f>
        <x:v>6</x:v>
      </x:c>
      <x:c r="H138" s="2" t="n">
        <x:f>MAX(0,E138-G138)</x:f>
        <x:v>0</x:v>
      </x:c>
      <x:c r="I138" s="2" t="n">
        <x:f>IF(F138="",0,MAX(0,G138-F138))</x:f>
        <x:v>0</x:v>
      </x:c>
      <x:c r="J138" s="2" t="n">
        <x:v>0</x:v>
      </x:c>
      <x:c r="K138" s="11" t="str">
        <x:v>—</x:v>
      </x:c>
      <x:c r="L138" s="11" t="str">
        <x:f>"營運參考"</x:f>
        <x:v>營運參考</x:v>
      </x:c>
    </x:row>
    <x:row r="139" ht="42" customHeight="1">
      <x:c r="A139" s="12" t="n">
        <x:v>46319</x:v>
      </x:c>
      <x:c r="B139" s="13" t="n">
        <x:v>0.6875</x:v>
      </x:c>
      <x:c r="C139" s="13" t="n">
        <x:v>0.7083333333333334</x:v>
      </x:c>
      <x:c r="D139" s="2" t="str">
        <x:v>營運參考</x:v>
      </x:c>
      <x:c r="E139" s="2" t="n">
        <x:v>0</x:v>
      </x:c>
      <x:c r="F139" s="2"/>
      <x:c r="G139" s="2" t="n">
        <x:f>IF(AND('班次明細'!L11&gt;0,'班次明細'!G11&lt;=B139,'班次明細'!H11&gt;=C139),1,0)+IF(AND('班次明細'!L18&gt;0,'班次明細'!G18&lt;=B139,'班次明細'!H18&gt;=C139),1,0)+IF(AND('班次明細'!L25&gt;0,'班次明細'!G25&lt;=B139,'班次明細'!H25&gt;=C139),1,0)+IF(AND('班次明細'!L32&gt;0,'班次明細'!G32&lt;=B139,'班次明細'!H32&gt;=C139),1,0)+IF(AND('班次明細'!L39&gt;0,'班次明細'!G39&lt;=B139,'班次明細'!H39&gt;=C139),1,0)+IF(AND('班次明細'!L46&gt;0,'班次明細'!G46&lt;=B139,'班次明細'!H46&gt;=C139),1,0)+IF(AND('班次明細'!L53&gt;0,'班次明細'!G53&lt;=B139,'班次明細'!H53&gt;=C139),1,0)+IF(AND('班次明細'!L60&gt;0,'班次明細'!G60&lt;=B139,'班次明細'!H60&gt;=C139),1,0)+IF(AND('班次明細'!L67&gt;0,'班次明細'!G67&lt;=B139,'班次明細'!H67&gt;=C139),1,0)+IF(AND('班次明細'!L74&gt;0,'班次明細'!G74&lt;=B139,'班次明細'!H74&gt;=C139),1,0)+IF(AND('班次明細'!L81&gt;0,'班次明細'!G81&lt;=B139,'班次明細'!H81&gt;=C139),1,0)</x:f>
        <x:v>6</x:v>
      </x:c>
      <x:c r="H139" s="2" t="n">
        <x:f>MAX(0,E139-G139)</x:f>
        <x:v>0</x:v>
      </x:c>
      <x:c r="I139" s="2" t="n">
        <x:f>IF(F139="",0,MAX(0,G139-F139))</x:f>
        <x:v>0</x:v>
      </x:c>
      <x:c r="J139" s="2" t="n">
        <x:v>0</x:v>
      </x:c>
      <x:c r="K139" s="11" t="str">
        <x:v>—</x:v>
      </x:c>
      <x:c r="L139" s="11" t="str">
        <x:f>"營運參考"</x:f>
        <x:v>營運參考</x:v>
      </x:c>
    </x:row>
    <x:row r="140" ht="42" customHeight="1">
      <x:c r="A140" s="12" t="n">
        <x:v>46319</x:v>
      </x:c>
      <x:c r="B140" s="13" t="n">
        <x:v>0.7083333333333334</x:v>
      </x:c>
      <x:c r="C140" s="13" t="n">
        <x:v>0.7291666666666666</x:v>
      </x:c>
      <x:c r="D140" s="2" t="str">
        <x:v>晚餐主崗</x:v>
      </x:c>
      <x:c r="E140" s="2" t="n">
        <x:v>7</x:v>
      </x:c>
      <x:c r="F140" s="2" t="n">
        <x:v>7</x:v>
      </x:c>
      <x:c r="G140" s="2" t="n">
        <x:f>IF(AND('班次明細'!L11&gt;0,'班次明細'!G11&lt;=B140,'班次明細'!H11&gt;=C140),1,0)+IF(AND('班次明細'!L18&gt;0,'班次明細'!G18&lt;=B140,'班次明細'!H18&gt;=C140),1,0)+IF(AND('班次明細'!L25&gt;0,'班次明細'!G25&lt;=B140,'班次明細'!H25&gt;=C140),1,0)+IF(AND('班次明細'!L32&gt;0,'班次明細'!G32&lt;=B140,'班次明細'!H32&gt;=C140),1,0)+IF(AND('班次明細'!L39&gt;0,'班次明細'!G39&lt;=B140,'班次明細'!H39&gt;=C140),1,0)+IF(AND('班次明細'!L46&gt;0,'班次明細'!G46&lt;=B140,'班次明細'!H46&gt;=C140),1,0)+IF(AND('班次明細'!L53&gt;0,'班次明細'!G53&lt;=B140,'班次明細'!H53&gt;=C140),1,0)+IF(AND('班次明細'!L60&gt;0,'班次明細'!G60&lt;=B140,'班次明細'!H60&gt;=C140),1,0)+IF(AND('班次明細'!L67&gt;0,'班次明細'!G67&lt;=B140,'班次明細'!H67&gt;=C140),1,0)+IF(AND('班次明細'!L74&gt;0,'班次明細'!G74&lt;=B140,'班次明細'!H74&gt;=C140),1,0)+IF(AND('班次明細'!L81&gt;0,'班次明細'!G81&lt;=B140,'班次明細'!H81&gt;=C140),1,0)</x:f>
        <x:v>7</x:v>
      </x:c>
      <x:c r="H140" s="2" t="n">
        <x:f>MAX(0,E140-G140)</x:f>
        <x:v>0</x:v>
      </x:c>
      <x:c r="I140" s="2" t="n">
        <x:f>IF(F140="",0,MAX(0,G140-F140))</x:f>
        <x:v>0</x:v>
      </x:c>
      <x:c r="J140" s="2" t="n">
        <x:f>IF((IF(RIGHT('班次明細'!O11,2)="外場",IF(AND('班次明細'!L11&gt;0,'班次明細'!G11&lt;=B140,'班次明細'!H11&gt;=C140),1,0),0)+IF(RIGHT('班次明細'!O18,2)="外場",IF(AND('班次明細'!L18&gt;0,'班次明細'!G18&lt;=B140,'班次明細'!H18&gt;=C140),1,0),0)+IF(RIGHT('班次明細'!O25,2)="外場",IF(AND('班次明細'!L25&gt;0,'班次明細'!G25&lt;=B140,'班次明細'!H25&gt;=C140),1,0),0)+IF(RIGHT('班次明細'!O32,2)="外場",IF(AND('班次明細'!L32&gt;0,'班次明細'!G32&lt;=B140,'班次明細'!H32&gt;=C140),1,0),0)+IF(RIGHT('班次明細'!O39,2)="外場",IF(AND('班次明細'!L39&gt;0,'班次明細'!G39&lt;=B140,'班次明細'!H39&gt;=C140),1,0),0)+IF(RIGHT('班次明細'!O46,2)="外場",IF(AND('班次明細'!L46&gt;0,'班次明細'!G46&lt;=B140,'班次明細'!H46&gt;=C140),1,0),0)+IF(RIGHT('班次明細'!O53,2)="外場",IF(AND('班次明細'!L53&gt;0,'班次明細'!G53&lt;=B140,'班次明細'!H53&gt;=C140),1,0),0)+IF(RIGHT('班次明細'!O60,2)="外場",IF(AND('班次明細'!L60&gt;0,'班次明細'!G60&lt;=B140,'班次明細'!H60&gt;=C140),1,0),0)+IF(RIGHT('班次明細'!O67,2)="外場",IF(AND('班次明細'!L67&gt;0,'班次明細'!G67&lt;=B140,'班次明細'!H67&gt;=C140),1,0),0)+IF(RIGHT('班次明細'!O74,2)="外場",IF(AND('班次明細'!L74&gt;0,'班次明細'!G74&lt;=B140,'班次明細'!H74&gt;=C140),1,0),0)+IF(RIGHT('班次明細'!O81,2)="外場",IF(AND('班次明細'!L81&gt;0,'班次明細'!G81&lt;=B140,'班次明細'!H81&gt;=C140),1,0),0))&gt;0,0,1)+IF((IF(RIGHT('班次明細'!O11,2)="吧台",IF(AND('班次明細'!L11&gt;0,'班次明細'!G11&lt;=B140,'班次明細'!H11&gt;=C140),1,0),0)+IF(RIGHT('班次明細'!O18,2)="吧台",IF(AND('班次明細'!L18&gt;0,'班次明細'!G18&lt;=B140,'班次明細'!H18&gt;=C140),1,0),0)+IF(RIGHT('班次明細'!O25,2)="吧台",IF(AND('班次明細'!L25&gt;0,'班次明細'!G25&lt;=B140,'班次明細'!H25&gt;=C140),1,0),0)+IF(RIGHT('班次明細'!O32,2)="吧台",IF(AND('班次明細'!L32&gt;0,'班次明細'!G32&lt;=B140,'班次明細'!H32&gt;=C140),1,0),0)+IF(RIGHT('班次明細'!O39,2)="吧台",IF(AND('班次明細'!L39&gt;0,'班次明細'!G39&lt;=B140,'班次明細'!H39&gt;=C140),1,0),0)+IF(RIGHT('班次明細'!O46,2)="吧台",IF(AND('班次明細'!L46&gt;0,'班次明細'!G46&lt;=B140,'班次明細'!H46&gt;=C140),1,0),0)+IF(RIGHT('班次明細'!O53,2)="吧台",IF(AND('班次明細'!L53&gt;0,'班次明細'!G53&lt;=B140,'班次明細'!H53&gt;=C140),1,0),0)+IF(RIGHT('班次明細'!O60,2)="吧台",IF(AND('班次明細'!L60&gt;0,'班次明細'!G60&lt;=B140,'班次明細'!H60&gt;=C140),1,0),0)+IF(RIGHT('班次明細'!O67,2)="吧台",IF(AND('班次明細'!L67&gt;0,'班次明細'!G67&lt;=B140,'班次明細'!H67&gt;=C140),1,0),0)+IF(RIGHT('班次明細'!O74,2)="吧台",IF(AND('班次明細'!L74&gt;0,'班次明細'!G74&lt;=B140,'班次明細'!H74&gt;=C140),1,0),0)+IF(RIGHT('班次明細'!O81,2)="吧台",IF(AND('班次明細'!L81&gt;0,'班次明細'!G81&lt;=B140,'班次明細'!H81&gt;=C140),1,0),0))&gt;0,0,1)+IF((IF(RIGHT('班次明細'!O11,2)="司爐",IF(AND('班次明細'!L11&gt;0,'班次明細'!G11&lt;=B140,'班次明細'!H11&gt;=C140),1,0),0)+IF(RIGHT('班次明細'!O18,2)="司爐",IF(AND('班次明細'!L18&gt;0,'班次明細'!G18&lt;=B140,'班次明細'!H18&gt;=C140),1,0),0)+IF(RIGHT('班次明細'!O25,2)="司爐",IF(AND('班次明細'!L25&gt;0,'班次明細'!G25&lt;=B140,'班次明細'!H25&gt;=C140),1,0),0)+IF(RIGHT('班次明細'!O32,2)="司爐",IF(AND('班次明細'!L32&gt;0,'班次明細'!G32&lt;=B140,'班次明細'!H32&gt;=C140),1,0),0)+IF(RIGHT('班次明細'!O39,2)="司爐",IF(AND('班次明細'!L39&gt;0,'班次明細'!G39&lt;=B140,'班次明細'!H39&gt;=C140),1,0),0)+IF(RIGHT('班次明細'!O46,2)="司爐",IF(AND('班次明細'!L46&gt;0,'班次明細'!G46&lt;=B140,'班次明細'!H46&gt;=C140),1,0),0)+IF(RIGHT('班次明細'!O53,2)="司爐",IF(AND('班次明細'!L53&gt;0,'班次明細'!G53&lt;=B140,'班次明細'!H53&gt;=C140),1,0),0)+IF(RIGHT('班次明細'!O60,2)="司爐",IF(AND('班次明細'!L60&gt;0,'班次明細'!G60&lt;=B140,'班次明細'!H60&gt;=C140),1,0),0)+IF(RIGHT('班次明細'!O67,2)="司爐",IF(AND('班次明細'!L67&gt;0,'班次明細'!G67&lt;=B140,'班次明細'!H67&gt;=C140),1,0),0)+IF(RIGHT('班次明細'!O74,2)="司爐",IF(AND('班次明細'!L74&gt;0,'班次明細'!G74&lt;=B140,'班次明細'!H74&gt;=C140),1,0),0)+IF(RIGHT('班次明細'!O81,2)="司爐",IF(AND('班次明細'!L81&gt;0,'班次明細'!G81&lt;=B140,'班次明細'!H81&gt;=C140),1,0),0))&gt;0,0,1)+IF((IF(RIGHT('班次明細'!O11,2)="料區",IF(AND('班次明細'!L11&gt;0,'班次明細'!G11&lt;=B140,'班次明細'!H11&gt;=C140),1,0),0)+IF(RIGHT('班次明細'!O18,2)="料區",IF(AND('班次明細'!L18&gt;0,'班次明細'!G18&lt;=B140,'班次明細'!H18&gt;=C140),1,0),0)+IF(RIGHT('班次明細'!O25,2)="料區",IF(AND('班次明細'!L25&gt;0,'班次明細'!G25&lt;=B140,'班次明細'!H25&gt;=C140),1,0),0)+IF(RIGHT('班次明細'!O32,2)="料區",IF(AND('班次明細'!L32&gt;0,'班次明細'!G32&lt;=B140,'班次明細'!H32&gt;=C140),1,0),0)+IF(RIGHT('班次明細'!O39,2)="料區",IF(AND('班次明細'!L39&gt;0,'班次明細'!G39&lt;=B140,'班次明細'!H39&gt;=C140),1,0),0)+IF(RIGHT('班次明細'!O46,2)="料區",IF(AND('班次明細'!L46&gt;0,'班次明細'!G46&lt;=B140,'班次明細'!H46&gt;=C140),1,0),0)+IF(RIGHT('班次明細'!O53,2)="料區",IF(AND('班次明細'!L53&gt;0,'班次明細'!G53&lt;=B140,'班次明細'!H53&gt;=C140),1,0),0)+IF(RIGHT('班次明細'!O60,2)="料區",IF(AND('班次明細'!L60&gt;0,'班次明細'!G60&lt;=B140,'班次明細'!H60&gt;=C140),1,0),0)+IF(RIGHT('班次明細'!O67,2)="料區",IF(AND('班次明細'!L67&gt;0,'班次明細'!G67&lt;=B140,'班次明細'!H67&gt;=C140),1,0),0)+IF(RIGHT('班次明細'!O74,2)="料區",IF(AND('班次明細'!L74&gt;0,'班次明細'!G74&lt;=B140,'班次明細'!H74&gt;=C140),1,0),0)+IF(RIGHT('班次明細'!O81,2)="料區",IF(AND('班次明細'!L81&gt;0,'班次明細'!G81&lt;=B140,'班次明細'!H81&gt;=C140),1,0),0))&gt;0,0,1)+IF((IF(RIGHT('班次明細'!O11,2)="炸區",IF(AND('班次明細'!L11&gt;0,'班次明細'!G11&lt;=B140,'班次明細'!H11&gt;=C140),1,0),0)+IF(RIGHT('班次明細'!O18,2)="炸區",IF(AND('班次明細'!L18&gt;0,'班次明細'!G18&lt;=B140,'班次明細'!H18&gt;=C140),1,0),0)+IF(RIGHT('班次明細'!O25,2)="炸區",IF(AND('班次明細'!L25&gt;0,'班次明細'!G25&lt;=B140,'班次明細'!H25&gt;=C140),1,0),0)+IF(RIGHT('班次明細'!O32,2)="炸區",IF(AND('班次明細'!L32&gt;0,'班次明細'!G32&lt;=B140,'班次明細'!H32&gt;=C140),1,0),0)+IF(RIGHT('班次明細'!O39,2)="炸區",IF(AND('班次明細'!L39&gt;0,'班次明細'!G39&lt;=B140,'班次明細'!H39&gt;=C140),1,0),0)+IF(RIGHT('班次明細'!O46,2)="炸區",IF(AND('班次明細'!L46&gt;0,'班次明細'!G46&lt;=B140,'班次明細'!H46&gt;=C140),1,0),0)+IF(RIGHT('班次明細'!O53,2)="炸區",IF(AND('班次明細'!L53&gt;0,'班次明細'!G53&lt;=B140,'班次明細'!H53&gt;=C140),1,0),0)+IF(RIGHT('班次明細'!O60,2)="炸區",IF(AND('班次明細'!L60&gt;0,'班次明細'!G60&lt;=B140,'班次明細'!H60&gt;=C140),1,0),0)+IF(RIGHT('班次明細'!O67,2)="炸區",IF(AND('班次明細'!L67&gt;0,'班次明細'!G67&lt;=B140,'班次明細'!H67&gt;=C140),1,0),0)+IF(RIGHT('班次明細'!O74,2)="炸區",IF(AND('班次明細'!L74&gt;0,'班次明細'!G74&lt;=B140,'班次明細'!H74&gt;=C140),1,0),0)+IF(RIGHT('班次明細'!O81,2)="炸區",IF(AND('班次明細'!L81&gt;0,'班次明細'!G81&lt;=B140,'班次明細'!H81&gt;=C140),1,0),0))&gt;0,0,1)+IF((IF(RIGHT('班次明細'!O11,2)="拍區",IF(AND('班次明細'!L11&gt;0,'班次明細'!G11&lt;=B140,'班次明細'!H11&gt;=C140),1,0),0)+IF(RIGHT('班次明細'!O18,2)="拍區",IF(AND('班次明細'!L18&gt;0,'班次明細'!G18&lt;=B140,'班次明細'!H18&gt;=C140),1,0),0)+IF(RIGHT('班次明細'!O25,2)="拍區",IF(AND('班次明細'!L25&gt;0,'班次明細'!G25&lt;=B140,'班次明細'!H25&gt;=C140),1,0),0)+IF(RIGHT('班次明細'!O32,2)="拍區",IF(AND('班次明細'!L32&gt;0,'班次明細'!G32&lt;=B140,'班次明細'!H32&gt;=C140),1,0),0)+IF(RIGHT('班次明細'!O39,2)="拍區",IF(AND('班次明細'!L39&gt;0,'班次明細'!G39&lt;=B140,'班次明細'!H39&gt;=C140),1,0),0)+IF(RIGHT('班次明細'!O46,2)="拍區",IF(AND('班次明細'!L46&gt;0,'班次明細'!G46&lt;=B140,'班次明細'!H46&gt;=C140),1,0),0)+IF(RIGHT('班次明細'!O53,2)="拍區",IF(AND('班次明細'!L53&gt;0,'班次明細'!G53&lt;=B140,'班次明細'!H53&gt;=C140),1,0),0)+IF(RIGHT('班次明細'!O60,2)="拍區",IF(AND('班次明細'!L60&gt;0,'班次明細'!G60&lt;=B140,'班次明細'!H60&gt;=C140),1,0),0)+IF(RIGHT('班次明細'!O67,2)="拍區",IF(AND('班次明細'!L67&gt;0,'班次明細'!G67&lt;=B140,'班次明細'!H67&gt;=C140),1,0),0)+IF(RIGHT('班次明細'!O74,2)="拍區",IF(AND('班次明細'!L74&gt;0,'班次明細'!G74&lt;=B140,'班次明細'!H74&gt;=C140),1,0),0)+IF(RIGHT('班次明細'!O81,2)="拍區",IF(AND('班次明細'!L81&gt;0,'班次明細'!G81&lt;=B140,'班次明細'!H81&gt;=C140),1,0),0))&gt;0,0,1)+IF((IF(RIGHT('班次明細'!O11,2)="控場",IF(AND('班次明細'!L11&gt;0,'班次明細'!G11&lt;=B140,'班次明細'!H11&gt;=C140),1,0),0)+IF(RIGHT('班次明細'!O18,2)="控場",IF(AND('班次明細'!L18&gt;0,'班次明細'!G18&lt;=B140,'班次明細'!H18&gt;=C140),1,0),0)+IF(RIGHT('班次明細'!O25,2)="控場",IF(AND('班次明細'!L25&gt;0,'班次明細'!G25&lt;=B140,'班次明細'!H25&gt;=C140),1,0),0)+IF(RIGHT('班次明細'!O32,2)="控場",IF(AND('班次明細'!L32&gt;0,'班次明細'!G32&lt;=B140,'班次明細'!H32&gt;=C140),1,0),0)+IF(RIGHT('班次明細'!O39,2)="控場",IF(AND('班次明細'!L39&gt;0,'班次明細'!G39&lt;=B140,'班次明細'!H39&gt;=C140),1,0),0)+IF(RIGHT('班次明細'!O46,2)="控場",IF(AND('班次明細'!L46&gt;0,'班次明細'!G46&lt;=B140,'班次明細'!H46&gt;=C140),1,0),0)+IF(RIGHT('班次明細'!O53,2)="控場",IF(AND('班次明細'!L53&gt;0,'班次明細'!G53&lt;=B140,'班次明細'!H53&gt;=C140),1,0),0)+IF(RIGHT('班次明細'!O60,2)="控場",IF(AND('班次明細'!L60&gt;0,'班次明細'!G60&lt;=B140,'班次明細'!H60&gt;=C140),1,0),0)+IF(RIGHT('班次明細'!O67,2)="控場",IF(AND('班次明細'!L67&gt;0,'班次明細'!G67&lt;=B140,'班次明細'!H67&gt;=C140),1,0),0)+IF(RIGHT('班次明細'!O74,2)="控場",IF(AND('班次明細'!L74&gt;0,'班次明細'!G74&lt;=B140,'班次明細'!H74&gt;=C140),1,0),0)+IF(RIGHT('班次明細'!O81,2)="控場",IF(AND('班次明細'!L81&gt;0,'班次明細'!G81&lt;=B140,'班次明細'!H81&gt;=C140),1,0),0))&gt;0,0,1)</x:f>
        <x:v>0</x:v>
      </x:c>
      <x:c r="K140" s="11" t="str">
        <x:v>P01:外場；P03:吧台；P04:控場；P05:炸區；P06:拍區；P07:料區；P09:司爐</x:v>
      </x:c>
      <x:c r="L140" s="11" t="str">
        <x:f>IF(OR(H140&gt;0,I140&gt;0,J140&gt;0),"缺口／超額待處理","主崗齊；休息待現場")</x:f>
        <x:v>主崗齊；休息待現場</x:v>
      </x:c>
    </x:row>
    <x:row r="141" ht="42" customHeight="1">
      <x:c r="A141" s="12" t="n">
        <x:v>46319</x:v>
      </x:c>
      <x:c r="B141" s="13" t="n">
        <x:v>0.7291666666666666</x:v>
      </x:c>
      <x:c r="C141" s="13" t="n">
        <x:v>0.75</x:v>
      </x:c>
      <x:c r="D141" s="2" t="str">
        <x:v>晚餐主崗</x:v>
      </x:c>
      <x:c r="E141" s="2" t="n">
        <x:v>7</x:v>
      </x:c>
      <x:c r="F141" s="2" t="n">
        <x:v>7</x:v>
      </x:c>
      <x:c r="G141" s="2" t="n">
        <x:f>IF(AND('班次明細'!L11&gt;0,'班次明細'!G11&lt;=B141,'班次明細'!H11&gt;=C141),1,0)+IF(AND('班次明細'!L18&gt;0,'班次明細'!G18&lt;=B141,'班次明細'!H18&gt;=C141),1,0)+IF(AND('班次明細'!L25&gt;0,'班次明細'!G25&lt;=B141,'班次明細'!H25&gt;=C141),1,0)+IF(AND('班次明細'!L32&gt;0,'班次明細'!G32&lt;=B141,'班次明細'!H32&gt;=C141),1,0)+IF(AND('班次明細'!L39&gt;0,'班次明細'!G39&lt;=B141,'班次明細'!H39&gt;=C141),1,0)+IF(AND('班次明細'!L46&gt;0,'班次明細'!G46&lt;=B141,'班次明細'!H46&gt;=C141),1,0)+IF(AND('班次明細'!L53&gt;0,'班次明細'!G53&lt;=B141,'班次明細'!H53&gt;=C141),1,0)+IF(AND('班次明細'!L60&gt;0,'班次明細'!G60&lt;=B141,'班次明細'!H60&gt;=C141),1,0)+IF(AND('班次明細'!L67&gt;0,'班次明細'!G67&lt;=B141,'班次明細'!H67&gt;=C141),1,0)+IF(AND('班次明細'!L74&gt;0,'班次明細'!G74&lt;=B141,'班次明細'!H74&gt;=C141),1,0)+IF(AND('班次明細'!L81&gt;0,'班次明細'!G81&lt;=B141,'班次明細'!H81&gt;=C141),1,0)</x:f>
        <x:v>7</x:v>
      </x:c>
      <x:c r="H141" s="2" t="n">
        <x:f>MAX(0,E141-G141)</x:f>
        <x:v>0</x:v>
      </x:c>
      <x:c r="I141" s="2" t="n">
        <x:f>IF(F141="",0,MAX(0,G141-F141))</x:f>
        <x:v>0</x:v>
      </x:c>
      <x:c r="J141" s="2" t="n">
        <x:f>IF((IF(RIGHT('班次明細'!O11,2)="外場",IF(AND('班次明細'!L11&gt;0,'班次明細'!G11&lt;=B141,'班次明細'!H11&gt;=C141),1,0),0)+IF(RIGHT('班次明細'!O18,2)="外場",IF(AND('班次明細'!L18&gt;0,'班次明細'!G18&lt;=B141,'班次明細'!H18&gt;=C141),1,0),0)+IF(RIGHT('班次明細'!O25,2)="外場",IF(AND('班次明細'!L25&gt;0,'班次明細'!G25&lt;=B141,'班次明細'!H25&gt;=C141),1,0),0)+IF(RIGHT('班次明細'!O32,2)="外場",IF(AND('班次明細'!L32&gt;0,'班次明細'!G32&lt;=B141,'班次明細'!H32&gt;=C141),1,0),0)+IF(RIGHT('班次明細'!O39,2)="外場",IF(AND('班次明細'!L39&gt;0,'班次明細'!G39&lt;=B141,'班次明細'!H39&gt;=C141),1,0),0)+IF(RIGHT('班次明細'!O46,2)="外場",IF(AND('班次明細'!L46&gt;0,'班次明細'!G46&lt;=B141,'班次明細'!H46&gt;=C141),1,0),0)+IF(RIGHT('班次明細'!O53,2)="外場",IF(AND('班次明細'!L53&gt;0,'班次明細'!G53&lt;=B141,'班次明細'!H53&gt;=C141),1,0),0)+IF(RIGHT('班次明細'!O60,2)="外場",IF(AND('班次明細'!L60&gt;0,'班次明細'!G60&lt;=B141,'班次明細'!H60&gt;=C141),1,0),0)+IF(RIGHT('班次明細'!O67,2)="外場",IF(AND('班次明細'!L67&gt;0,'班次明細'!G67&lt;=B141,'班次明細'!H67&gt;=C141),1,0),0)+IF(RIGHT('班次明細'!O74,2)="外場",IF(AND('班次明細'!L74&gt;0,'班次明細'!G74&lt;=B141,'班次明細'!H74&gt;=C141),1,0),0)+IF(RIGHT('班次明細'!O81,2)="外場",IF(AND('班次明細'!L81&gt;0,'班次明細'!G81&lt;=B141,'班次明細'!H81&gt;=C141),1,0),0))&gt;0,0,1)+IF((IF(RIGHT('班次明細'!O11,2)="吧台",IF(AND('班次明細'!L11&gt;0,'班次明細'!G11&lt;=B141,'班次明細'!H11&gt;=C141),1,0),0)+IF(RIGHT('班次明細'!O18,2)="吧台",IF(AND('班次明細'!L18&gt;0,'班次明細'!G18&lt;=B141,'班次明細'!H18&gt;=C141),1,0),0)+IF(RIGHT('班次明細'!O25,2)="吧台",IF(AND('班次明細'!L25&gt;0,'班次明細'!G25&lt;=B141,'班次明細'!H25&gt;=C141),1,0),0)+IF(RIGHT('班次明細'!O32,2)="吧台",IF(AND('班次明細'!L32&gt;0,'班次明細'!G32&lt;=B141,'班次明細'!H32&gt;=C141),1,0),0)+IF(RIGHT('班次明細'!O39,2)="吧台",IF(AND('班次明細'!L39&gt;0,'班次明細'!G39&lt;=B141,'班次明細'!H39&gt;=C141),1,0),0)+IF(RIGHT('班次明細'!O46,2)="吧台",IF(AND('班次明細'!L46&gt;0,'班次明細'!G46&lt;=B141,'班次明細'!H46&gt;=C141),1,0),0)+IF(RIGHT('班次明細'!O53,2)="吧台",IF(AND('班次明細'!L53&gt;0,'班次明細'!G53&lt;=B141,'班次明細'!H53&gt;=C141),1,0),0)+IF(RIGHT('班次明細'!O60,2)="吧台",IF(AND('班次明細'!L60&gt;0,'班次明細'!G60&lt;=B141,'班次明細'!H60&gt;=C141),1,0),0)+IF(RIGHT('班次明細'!O67,2)="吧台",IF(AND('班次明細'!L67&gt;0,'班次明細'!G67&lt;=B141,'班次明細'!H67&gt;=C141),1,0),0)+IF(RIGHT('班次明細'!O74,2)="吧台",IF(AND('班次明細'!L74&gt;0,'班次明細'!G74&lt;=B141,'班次明細'!H74&gt;=C141),1,0),0)+IF(RIGHT('班次明細'!O81,2)="吧台",IF(AND('班次明細'!L81&gt;0,'班次明細'!G81&lt;=B141,'班次明細'!H81&gt;=C141),1,0),0))&gt;0,0,1)+IF((IF(RIGHT('班次明細'!O11,2)="司爐",IF(AND('班次明細'!L11&gt;0,'班次明細'!G11&lt;=B141,'班次明細'!H11&gt;=C141),1,0),0)+IF(RIGHT('班次明細'!O18,2)="司爐",IF(AND('班次明細'!L18&gt;0,'班次明細'!G18&lt;=B141,'班次明細'!H18&gt;=C141),1,0),0)+IF(RIGHT('班次明細'!O25,2)="司爐",IF(AND('班次明細'!L25&gt;0,'班次明細'!G25&lt;=B141,'班次明細'!H25&gt;=C141),1,0),0)+IF(RIGHT('班次明細'!O32,2)="司爐",IF(AND('班次明細'!L32&gt;0,'班次明細'!G32&lt;=B141,'班次明細'!H32&gt;=C141),1,0),0)+IF(RIGHT('班次明細'!O39,2)="司爐",IF(AND('班次明細'!L39&gt;0,'班次明細'!G39&lt;=B141,'班次明細'!H39&gt;=C141),1,0),0)+IF(RIGHT('班次明細'!O46,2)="司爐",IF(AND('班次明細'!L46&gt;0,'班次明細'!G46&lt;=B141,'班次明細'!H46&gt;=C141),1,0),0)+IF(RIGHT('班次明細'!O53,2)="司爐",IF(AND('班次明細'!L53&gt;0,'班次明細'!G53&lt;=B141,'班次明細'!H53&gt;=C141),1,0),0)+IF(RIGHT('班次明細'!O60,2)="司爐",IF(AND('班次明細'!L60&gt;0,'班次明細'!G60&lt;=B141,'班次明細'!H60&gt;=C141),1,0),0)+IF(RIGHT('班次明細'!O67,2)="司爐",IF(AND('班次明細'!L67&gt;0,'班次明細'!G67&lt;=B141,'班次明細'!H67&gt;=C141),1,0),0)+IF(RIGHT('班次明細'!O74,2)="司爐",IF(AND('班次明細'!L74&gt;0,'班次明細'!G74&lt;=B141,'班次明細'!H74&gt;=C141),1,0),0)+IF(RIGHT('班次明細'!O81,2)="司爐",IF(AND('班次明細'!L81&gt;0,'班次明細'!G81&lt;=B141,'班次明細'!H81&gt;=C141),1,0),0))&gt;0,0,1)+IF((IF(RIGHT('班次明細'!O11,2)="料區",IF(AND('班次明細'!L11&gt;0,'班次明細'!G11&lt;=B141,'班次明細'!H11&gt;=C141),1,0),0)+IF(RIGHT('班次明細'!O18,2)="料區",IF(AND('班次明細'!L18&gt;0,'班次明細'!G18&lt;=B141,'班次明細'!H18&gt;=C141),1,0),0)+IF(RIGHT('班次明細'!O25,2)="料區",IF(AND('班次明細'!L25&gt;0,'班次明細'!G25&lt;=B141,'班次明細'!H25&gt;=C141),1,0),0)+IF(RIGHT('班次明細'!O32,2)="料區",IF(AND('班次明細'!L32&gt;0,'班次明細'!G32&lt;=B141,'班次明細'!H32&gt;=C141),1,0),0)+IF(RIGHT('班次明細'!O39,2)="料區",IF(AND('班次明細'!L39&gt;0,'班次明細'!G39&lt;=B141,'班次明細'!H39&gt;=C141),1,0),0)+IF(RIGHT('班次明細'!O46,2)="料區",IF(AND('班次明細'!L46&gt;0,'班次明細'!G46&lt;=B141,'班次明細'!H46&gt;=C141),1,0),0)+IF(RIGHT('班次明細'!O53,2)="料區",IF(AND('班次明細'!L53&gt;0,'班次明細'!G53&lt;=B141,'班次明細'!H53&gt;=C141),1,0),0)+IF(RIGHT('班次明細'!O60,2)="料區",IF(AND('班次明細'!L60&gt;0,'班次明細'!G60&lt;=B141,'班次明細'!H60&gt;=C141),1,0),0)+IF(RIGHT('班次明細'!O67,2)="料區",IF(AND('班次明細'!L67&gt;0,'班次明細'!G67&lt;=B141,'班次明細'!H67&gt;=C141),1,0),0)+IF(RIGHT('班次明細'!O74,2)="料區",IF(AND('班次明細'!L74&gt;0,'班次明細'!G74&lt;=B141,'班次明細'!H74&gt;=C141),1,0),0)+IF(RIGHT('班次明細'!O81,2)="料區",IF(AND('班次明細'!L81&gt;0,'班次明細'!G81&lt;=B141,'班次明細'!H81&gt;=C141),1,0),0))&gt;0,0,1)+IF((IF(RIGHT('班次明細'!O11,2)="炸區",IF(AND('班次明細'!L11&gt;0,'班次明細'!G11&lt;=B141,'班次明細'!H11&gt;=C141),1,0),0)+IF(RIGHT('班次明細'!O18,2)="炸區",IF(AND('班次明細'!L18&gt;0,'班次明細'!G18&lt;=B141,'班次明細'!H18&gt;=C141),1,0),0)+IF(RIGHT('班次明細'!O25,2)="炸區",IF(AND('班次明細'!L25&gt;0,'班次明細'!G25&lt;=B141,'班次明細'!H25&gt;=C141),1,0),0)+IF(RIGHT('班次明細'!O32,2)="炸區",IF(AND('班次明細'!L32&gt;0,'班次明細'!G32&lt;=B141,'班次明細'!H32&gt;=C141),1,0),0)+IF(RIGHT('班次明細'!O39,2)="炸區",IF(AND('班次明細'!L39&gt;0,'班次明細'!G39&lt;=B141,'班次明細'!H39&gt;=C141),1,0),0)+IF(RIGHT('班次明細'!O46,2)="炸區",IF(AND('班次明細'!L46&gt;0,'班次明細'!G46&lt;=B141,'班次明細'!H46&gt;=C141),1,0),0)+IF(RIGHT('班次明細'!O53,2)="炸區",IF(AND('班次明細'!L53&gt;0,'班次明細'!G53&lt;=B141,'班次明細'!H53&gt;=C141),1,0),0)+IF(RIGHT('班次明細'!O60,2)="炸區",IF(AND('班次明細'!L60&gt;0,'班次明細'!G60&lt;=B141,'班次明細'!H60&gt;=C141),1,0),0)+IF(RIGHT('班次明細'!O67,2)="炸區",IF(AND('班次明細'!L67&gt;0,'班次明細'!G67&lt;=B141,'班次明細'!H67&gt;=C141),1,0),0)+IF(RIGHT('班次明細'!O74,2)="炸區",IF(AND('班次明細'!L74&gt;0,'班次明細'!G74&lt;=B141,'班次明細'!H74&gt;=C141),1,0),0)+IF(RIGHT('班次明細'!O81,2)="炸區",IF(AND('班次明細'!L81&gt;0,'班次明細'!G81&lt;=B141,'班次明細'!H81&gt;=C141),1,0),0))&gt;0,0,1)+IF((IF(RIGHT('班次明細'!O11,2)="拍區",IF(AND('班次明細'!L11&gt;0,'班次明細'!G11&lt;=B141,'班次明細'!H11&gt;=C141),1,0),0)+IF(RIGHT('班次明細'!O18,2)="拍區",IF(AND('班次明細'!L18&gt;0,'班次明細'!G18&lt;=B141,'班次明細'!H18&gt;=C141),1,0),0)+IF(RIGHT('班次明細'!O25,2)="拍區",IF(AND('班次明細'!L25&gt;0,'班次明細'!G25&lt;=B141,'班次明細'!H25&gt;=C141),1,0),0)+IF(RIGHT('班次明細'!O32,2)="拍區",IF(AND('班次明細'!L32&gt;0,'班次明細'!G32&lt;=B141,'班次明細'!H32&gt;=C141),1,0),0)+IF(RIGHT('班次明細'!O39,2)="拍區",IF(AND('班次明細'!L39&gt;0,'班次明細'!G39&lt;=B141,'班次明細'!H39&gt;=C141),1,0),0)+IF(RIGHT('班次明細'!O46,2)="拍區",IF(AND('班次明細'!L46&gt;0,'班次明細'!G46&lt;=B141,'班次明細'!H46&gt;=C141),1,0),0)+IF(RIGHT('班次明細'!O53,2)="拍區",IF(AND('班次明細'!L53&gt;0,'班次明細'!G53&lt;=B141,'班次明細'!H53&gt;=C141),1,0),0)+IF(RIGHT('班次明細'!O60,2)="拍區",IF(AND('班次明細'!L60&gt;0,'班次明細'!G60&lt;=B141,'班次明細'!H60&gt;=C141),1,0),0)+IF(RIGHT('班次明細'!O67,2)="拍區",IF(AND('班次明細'!L67&gt;0,'班次明細'!G67&lt;=B141,'班次明細'!H67&gt;=C141),1,0),0)+IF(RIGHT('班次明細'!O74,2)="拍區",IF(AND('班次明細'!L74&gt;0,'班次明細'!G74&lt;=B141,'班次明細'!H74&gt;=C141),1,0),0)+IF(RIGHT('班次明細'!O81,2)="拍區",IF(AND('班次明細'!L81&gt;0,'班次明細'!G81&lt;=B141,'班次明細'!H81&gt;=C141),1,0),0))&gt;0,0,1)+IF((IF(RIGHT('班次明細'!O11,2)="控場",IF(AND('班次明細'!L11&gt;0,'班次明細'!G11&lt;=B141,'班次明細'!H11&gt;=C141),1,0),0)+IF(RIGHT('班次明細'!O18,2)="控場",IF(AND('班次明細'!L18&gt;0,'班次明細'!G18&lt;=B141,'班次明細'!H18&gt;=C141),1,0),0)+IF(RIGHT('班次明細'!O25,2)="控場",IF(AND('班次明細'!L25&gt;0,'班次明細'!G25&lt;=B141,'班次明細'!H25&gt;=C141),1,0),0)+IF(RIGHT('班次明細'!O32,2)="控場",IF(AND('班次明細'!L32&gt;0,'班次明細'!G32&lt;=B141,'班次明細'!H32&gt;=C141),1,0),0)+IF(RIGHT('班次明細'!O39,2)="控場",IF(AND('班次明細'!L39&gt;0,'班次明細'!G39&lt;=B141,'班次明細'!H39&gt;=C141),1,0),0)+IF(RIGHT('班次明細'!O46,2)="控場",IF(AND('班次明細'!L46&gt;0,'班次明細'!G46&lt;=B141,'班次明細'!H46&gt;=C141),1,0),0)+IF(RIGHT('班次明細'!O53,2)="控場",IF(AND('班次明細'!L53&gt;0,'班次明細'!G53&lt;=B141,'班次明細'!H53&gt;=C141),1,0),0)+IF(RIGHT('班次明細'!O60,2)="控場",IF(AND('班次明細'!L60&gt;0,'班次明細'!G60&lt;=B141,'班次明細'!H60&gt;=C141),1,0),0)+IF(RIGHT('班次明細'!O67,2)="控場",IF(AND('班次明細'!L67&gt;0,'班次明細'!G67&lt;=B141,'班次明細'!H67&gt;=C141),1,0),0)+IF(RIGHT('班次明細'!O74,2)="控場",IF(AND('班次明細'!L74&gt;0,'班次明細'!G74&lt;=B141,'班次明細'!H74&gt;=C141),1,0),0)+IF(RIGHT('班次明細'!O81,2)="控場",IF(AND('班次明細'!L81&gt;0,'班次明細'!G81&lt;=B141,'班次明細'!H81&gt;=C141),1,0),0))&gt;0,0,1)</x:f>
        <x:v>0</x:v>
      </x:c>
      <x:c r="K141" s="11" t="str">
        <x:v>P01:外場；P03:吧台；P04:控場；P05:炸區；P06:拍區；P07:料區；P09:司爐</x:v>
      </x:c>
      <x:c r="L141" s="11" t="str">
        <x:f>IF(OR(H141&gt;0,I141&gt;0,J141&gt;0),"缺口／超額待處理","主崗齊；休息待現場")</x:f>
        <x:v>主崗齊；休息待現場</x:v>
      </x:c>
    </x:row>
    <x:row r="142" ht="42" customHeight="1">
      <x:c r="A142" s="12" t="n">
        <x:v>46319</x:v>
      </x:c>
      <x:c r="B142" s="13" t="n">
        <x:v>0.75</x:v>
      </x:c>
      <x:c r="C142" s="13" t="n">
        <x:v>0.7708333333333334</x:v>
      </x:c>
      <x:c r="D142" s="2" t="str">
        <x:v>晚餐主崗</x:v>
      </x:c>
      <x:c r="E142" s="2" t="n">
        <x:v>7</x:v>
      </x:c>
      <x:c r="F142" s="2" t="n">
        <x:v>7</x:v>
      </x:c>
      <x:c r="G142" s="2" t="n">
        <x:f>IF(AND('班次明細'!L11&gt;0,'班次明細'!G11&lt;=B142,'班次明細'!H11&gt;=C142),1,0)+IF(AND('班次明細'!L18&gt;0,'班次明細'!G18&lt;=B142,'班次明細'!H18&gt;=C142),1,0)+IF(AND('班次明細'!L25&gt;0,'班次明細'!G25&lt;=B142,'班次明細'!H25&gt;=C142),1,0)+IF(AND('班次明細'!L32&gt;0,'班次明細'!G32&lt;=B142,'班次明細'!H32&gt;=C142),1,0)+IF(AND('班次明細'!L39&gt;0,'班次明細'!G39&lt;=B142,'班次明細'!H39&gt;=C142),1,0)+IF(AND('班次明細'!L46&gt;0,'班次明細'!G46&lt;=B142,'班次明細'!H46&gt;=C142),1,0)+IF(AND('班次明細'!L53&gt;0,'班次明細'!G53&lt;=B142,'班次明細'!H53&gt;=C142),1,0)+IF(AND('班次明細'!L60&gt;0,'班次明細'!G60&lt;=B142,'班次明細'!H60&gt;=C142),1,0)+IF(AND('班次明細'!L67&gt;0,'班次明細'!G67&lt;=B142,'班次明細'!H67&gt;=C142),1,0)+IF(AND('班次明細'!L74&gt;0,'班次明細'!G74&lt;=B142,'班次明細'!H74&gt;=C142),1,0)+IF(AND('班次明細'!L81&gt;0,'班次明細'!G81&lt;=B142,'班次明細'!H81&gt;=C142),1,0)</x:f>
        <x:v>7</x:v>
      </x:c>
      <x:c r="H142" s="2" t="n">
        <x:f>MAX(0,E142-G142)</x:f>
        <x:v>0</x:v>
      </x:c>
      <x:c r="I142" s="2" t="n">
        <x:f>IF(F142="",0,MAX(0,G142-F142))</x:f>
        <x:v>0</x:v>
      </x:c>
      <x:c r="J142" s="2" t="n">
        <x:f>IF((IF(RIGHT('班次明細'!O11,2)="外場",IF(AND('班次明細'!L11&gt;0,'班次明細'!G11&lt;=B142,'班次明細'!H11&gt;=C142),1,0),0)+IF(RIGHT('班次明細'!O18,2)="外場",IF(AND('班次明細'!L18&gt;0,'班次明細'!G18&lt;=B142,'班次明細'!H18&gt;=C142),1,0),0)+IF(RIGHT('班次明細'!O25,2)="外場",IF(AND('班次明細'!L25&gt;0,'班次明細'!G25&lt;=B142,'班次明細'!H25&gt;=C142),1,0),0)+IF(RIGHT('班次明細'!O32,2)="外場",IF(AND('班次明細'!L32&gt;0,'班次明細'!G32&lt;=B142,'班次明細'!H32&gt;=C142),1,0),0)+IF(RIGHT('班次明細'!O39,2)="外場",IF(AND('班次明細'!L39&gt;0,'班次明細'!G39&lt;=B142,'班次明細'!H39&gt;=C142),1,0),0)+IF(RIGHT('班次明細'!O46,2)="外場",IF(AND('班次明細'!L46&gt;0,'班次明細'!G46&lt;=B142,'班次明細'!H46&gt;=C142),1,0),0)+IF(RIGHT('班次明細'!O53,2)="外場",IF(AND('班次明細'!L53&gt;0,'班次明細'!G53&lt;=B142,'班次明細'!H53&gt;=C142),1,0),0)+IF(RIGHT('班次明細'!O60,2)="外場",IF(AND('班次明細'!L60&gt;0,'班次明細'!G60&lt;=B142,'班次明細'!H60&gt;=C142),1,0),0)+IF(RIGHT('班次明細'!O67,2)="外場",IF(AND('班次明細'!L67&gt;0,'班次明細'!G67&lt;=B142,'班次明細'!H67&gt;=C142),1,0),0)+IF(RIGHT('班次明細'!O74,2)="外場",IF(AND('班次明細'!L74&gt;0,'班次明細'!G74&lt;=B142,'班次明細'!H74&gt;=C142),1,0),0)+IF(RIGHT('班次明細'!O81,2)="外場",IF(AND('班次明細'!L81&gt;0,'班次明細'!G81&lt;=B142,'班次明細'!H81&gt;=C142),1,0),0))&gt;0,0,1)+IF((IF(RIGHT('班次明細'!O11,2)="吧台",IF(AND('班次明細'!L11&gt;0,'班次明細'!G11&lt;=B142,'班次明細'!H11&gt;=C142),1,0),0)+IF(RIGHT('班次明細'!O18,2)="吧台",IF(AND('班次明細'!L18&gt;0,'班次明細'!G18&lt;=B142,'班次明細'!H18&gt;=C142),1,0),0)+IF(RIGHT('班次明細'!O25,2)="吧台",IF(AND('班次明細'!L25&gt;0,'班次明細'!G25&lt;=B142,'班次明細'!H25&gt;=C142),1,0),0)+IF(RIGHT('班次明細'!O32,2)="吧台",IF(AND('班次明細'!L32&gt;0,'班次明細'!G32&lt;=B142,'班次明細'!H32&gt;=C142),1,0),0)+IF(RIGHT('班次明細'!O39,2)="吧台",IF(AND('班次明細'!L39&gt;0,'班次明細'!G39&lt;=B142,'班次明細'!H39&gt;=C142),1,0),0)+IF(RIGHT('班次明細'!O46,2)="吧台",IF(AND('班次明細'!L46&gt;0,'班次明細'!G46&lt;=B142,'班次明細'!H46&gt;=C142),1,0),0)+IF(RIGHT('班次明細'!O53,2)="吧台",IF(AND('班次明細'!L53&gt;0,'班次明細'!G53&lt;=B142,'班次明細'!H53&gt;=C142),1,0),0)+IF(RIGHT('班次明細'!O60,2)="吧台",IF(AND('班次明細'!L60&gt;0,'班次明細'!G60&lt;=B142,'班次明細'!H60&gt;=C142),1,0),0)+IF(RIGHT('班次明細'!O67,2)="吧台",IF(AND('班次明細'!L67&gt;0,'班次明細'!G67&lt;=B142,'班次明細'!H67&gt;=C142),1,0),0)+IF(RIGHT('班次明細'!O74,2)="吧台",IF(AND('班次明細'!L74&gt;0,'班次明細'!G74&lt;=B142,'班次明細'!H74&gt;=C142),1,0),0)+IF(RIGHT('班次明細'!O81,2)="吧台",IF(AND('班次明細'!L81&gt;0,'班次明細'!G81&lt;=B142,'班次明細'!H81&gt;=C142),1,0),0))&gt;0,0,1)+IF((IF(RIGHT('班次明細'!O11,2)="司爐",IF(AND('班次明細'!L11&gt;0,'班次明細'!G11&lt;=B142,'班次明細'!H11&gt;=C142),1,0),0)+IF(RIGHT('班次明細'!O18,2)="司爐",IF(AND('班次明細'!L18&gt;0,'班次明細'!G18&lt;=B142,'班次明細'!H18&gt;=C142),1,0),0)+IF(RIGHT('班次明細'!O25,2)="司爐",IF(AND('班次明細'!L25&gt;0,'班次明細'!G25&lt;=B142,'班次明細'!H25&gt;=C142),1,0),0)+IF(RIGHT('班次明細'!O32,2)="司爐",IF(AND('班次明細'!L32&gt;0,'班次明細'!G32&lt;=B142,'班次明細'!H32&gt;=C142),1,0),0)+IF(RIGHT('班次明細'!O39,2)="司爐",IF(AND('班次明細'!L39&gt;0,'班次明細'!G39&lt;=B142,'班次明細'!H39&gt;=C142),1,0),0)+IF(RIGHT('班次明細'!O46,2)="司爐",IF(AND('班次明細'!L46&gt;0,'班次明細'!G46&lt;=B142,'班次明細'!H46&gt;=C142),1,0),0)+IF(RIGHT('班次明細'!O53,2)="司爐",IF(AND('班次明細'!L53&gt;0,'班次明細'!G53&lt;=B142,'班次明細'!H53&gt;=C142),1,0),0)+IF(RIGHT('班次明細'!O60,2)="司爐",IF(AND('班次明細'!L60&gt;0,'班次明細'!G60&lt;=B142,'班次明細'!H60&gt;=C142),1,0),0)+IF(RIGHT('班次明細'!O67,2)="司爐",IF(AND('班次明細'!L67&gt;0,'班次明細'!G67&lt;=B142,'班次明細'!H67&gt;=C142),1,0),0)+IF(RIGHT('班次明細'!O74,2)="司爐",IF(AND('班次明細'!L74&gt;0,'班次明細'!G74&lt;=B142,'班次明細'!H74&gt;=C142),1,0),0)+IF(RIGHT('班次明細'!O81,2)="司爐",IF(AND('班次明細'!L81&gt;0,'班次明細'!G81&lt;=B142,'班次明細'!H81&gt;=C142),1,0),0))&gt;0,0,1)+IF((IF(RIGHT('班次明細'!O11,2)="料區",IF(AND('班次明細'!L11&gt;0,'班次明細'!G11&lt;=B142,'班次明細'!H11&gt;=C142),1,0),0)+IF(RIGHT('班次明細'!O18,2)="料區",IF(AND('班次明細'!L18&gt;0,'班次明細'!G18&lt;=B142,'班次明細'!H18&gt;=C142),1,0),0)+IF(RIGHT('班次明細'!O25,2)="料區",IF(AND('班次明細'!L25&gt;0,'班次明細'!G25&lt;=B142,'班次明細'!H25&gt;=C142),1,0),0)+IF(RIGHT('班次明細'!O32,2)="料區",IF(AND('班次明細'!L32&gt;0,'班次明細'!G32&lt;=B142,'班次明細'!H32&gt;=C142),1,0),0)+IF(RIGHT('班次明細'!O39,2)="料區",IF(AND('班次明細'!L39&gt;0,'班次明細'!G39&lt;=B142,'班次明細'!H39&gt;=C142),1,0),0)+IF(RIGHT('班次明細'!O46,2)="料區",IF(AND('班次明細'!L46&gt;0,'班次明細'!G46&lt;=B142,'班次明細'!H46&gt;=C142),1,0),0)+IF(RIGHT('班次明細'!O53,2)="料區",IF(AND('班次明細'!L53&gt;0,'班次明細'!G53&lt;=B142,'班次明細'!H53&gt;=C142),1,0),0)+IF(RIGHT('班次明細'!O60,2)="料區",IF(AND('班次明細'!L60&gt;0,'班次明細'!G60&lt;=B142,'班次明細'!H60&gt;=C142),1,0),0)+IF(RIGHT('班次明細'!O67,2)="料區",IF(AND('班次明細'!L67&gt;0,'班次明細'!G67&lt;=B142,'班次明細'!H67&gt;=C142),1,0),0)+IF(RIGHT('班次明細'!O74,2)="料區",IF(AND('班次明細'!L74&gt;0,'班次明細'!G74&lt;=B142,'班次明細'!H74&gt;=C142),1,0),0)+IF(RIGHT('班次明細'!O81,2)="料區",IF(AND('班次明細'!L81&gt;0,'班次明細'!G81&lt;=B142,'班次明細'!H81&gt;=C142),1,0),0))&gt;0,0,1)+IF((IF(RIGHT('班次明細'!O11,2)="炸區",IF(AND('班次明細'!L11&gt;0,'班次明細'!G11&lt;=B142,'班次明細'!H11&gt;=C142),1,0),0)+IF(RIGHT('班次明細'!O18,2)="炸區",IF(AND('班次明細'!L18&gt;0,'班次明細'!G18&lt;=B142,'班次明細'!H18&gt;=C142),1,0),0)+IF(RIGHT('班次明細'!O25,2)="炸區",IF(AND('班次明細'!L25&gt;0,'班次明細'!G25&lt;=B142,'班次明細'!H25&gt;=C142),1,0),0)+IF(RIGHT('班次明細'!O32,2)="炸區",IF(AND('班次明細'!L32&gt;0,'班次明細'!G32&lt;=B142,'班次明細'!H32&gt;=C142),1,0),0)+IF(RIGHT('班次明細'!O39,2)="炸區",IF(AND('班次明細'!L39&gt;0,'班次明細'!G39&lt;=B142,'班次明細'!H39&gt;=C142),1,0),0)+IF(RIGHT('班次明細'!O46,2)="炸區",IF(AND('班次明細'!L46&gt;0,'班次明細'!G46&lt;=B142,'班次明細'!H46&gt;=C142),1,0),0)+IF(RIGHT('班次明細'!O53,2)="炸區",IF(AND('班次明細'!L53&gt;0,'班次明細'!G53&lt;=B142,'班次明細'!H53&gt;=C142),1,0),0)+IF(RIGHT('班次明細'!O60,2)="炸區",IF(AND('班次明細'!L60&gt;0,'班次明細'!G60&lt;=B142,'班次明細'!H60&gt;=C142),1,0),0)+IF(RIGHT('班次明細'!O67,2)="炸區",IF(AND('班次明細'!L67&gt;0,'班次明細'!G67&lt;=B142,'班次明細'!H67&gt;=C142),1,0),0)+IF(RIGHT('班次明細'!O74,2)="炸區",IF(AND('班次明細'!L74&gt;0,'班次明細'!G74&lt;=B142,'班次明細'!H74&gt;=C142),1,0),0)+IF(RIGHT('班次明細'!O81,2)="炸區",IF(AND('班次明細'!L81&gt;0,'班次明細'!G81&lt;=B142,'班次明細'!H81&gt;=C142),1,0),0))&gt;0,0,1)+IF((IF(RIGHT('班次明細'!O11,2)="拍區",IF(AND('班次明細'!L11&gt;0,'班次明細'!G11&lt;=B142,'班次明細'!H11&gt;=C142),1,0),0)+IF(RIGHT('班次明細'!O18,2)="拍區",IF(AND('班次明細'!L18&gt;0,'班次明細'!G18&lt;=B142,'班次明細'!H18&gt;=C142),1,0),0)+IF(RIGHT('班次明細'!O25,2)="拍區",IF(AND('班次明細'!L25&gt;0,'班次明細'!G25&lt;=B142,'班次明細'!H25&gt;=C142),1,0),0)+IF(RIGHT('班次明細'!O32,2)="拍區",IF(AND('班次明細'!L32&gt;0,'班次明細'!G32&lt;=B142,'班次明細'!H32&gt;=C142),1,0),0)+IF(RIGHT('班次明細'!O39,2)="拍區",IF(AND('班次明細'!L39&gt;0,'班次明細'!G39&lt;=B142,'班次明細'!H39&gt;=C142),1,0),0)+IF(RIGHT('班次明細'!O46,2)="拍區",IF(AND('班次明細'!L46&gt;0,'班次明細'!G46&lt;=B142,'班次明細'!H46&gt;=C142),1,0),0)+IF(RIGHT('班次明細'!O53,2)="拍區",IF(AND('班次明細'!L53&gt;0,'班次明細'!G53&lt;=B142,'班次明細'!H53&gt;=C142),1,0),0)+IF(RIGHT('班次明細'!O60,2)="拍區",IF(AND('班次明細'!L60&gt;0,'班次明細'!G60&lt;=B142,'班次明細'!H60&gt;=C142),1,0),0)+IF(RIGHT('班次明細'!O67,2)="拍區",IF(AND('班次明細'!L67&gt;0,'班次明細'!G67&lt;=B142,'班次明細'!H67&gt;=C142),1,0),0)+IF(RIGHT('班次明細'!O74,2)="拍區",IF(AND('班次明細'!L74&gt;0,'班次明細'!G74&lt;=B142,'班次明細'!H74&gt;=C142),1,0),0)+IF(RIGHT('班次明細'!O81,2)="拍區",IF(AND('班次明細'!L81&gt;0,'班次明細'!G81&lt;=B142,'班次明細'!H81&gt;=C142),1,0),0))&gt;0,0,1)+IF((IF(RIGHT('班次明細'!O11,2)="控場",IF(AND('班次明細'!L11&gt;0,'班次明細'!G11&lt;=B142,'班次明細'!H11&gt;=C142),1,0),0)+IF(RIGHT('班次明細'!O18,2)="控場",IF(AND('班次明細'!L18&gt;0,'班次明細'!G18&lt;=B142,'班次明細'!H18&gt;=C142),1,0),0)+IF(RIGHT('班次明細'!O25,2)="控場",IF(AND('班次明細'!L25&gt;0,'班次明細'!G25&lt;=B142,'班次明細'!H25&gt;=C142),1,0),0)+IF(RIGHT('班次明細'!O32,2)="控場",IF(AND('班次明細'!L32&gt;0,'班次明細'!G32&lt;=B142,'班次明細'!H32&gt;=C142),1,0),0)+IF(RIGHT('班次明細'!O39,2)="控場",IF(AND('班次明細'!L39&gt;0,'班次明細'!G39&lt;=B142,'班次明細'!H39&gt;=C142),1,0),0)+IF(RIGHT('班次明細'!O46,2)="控場",IF(AND('班次明細'!L46&gt;0,'班次明細'!G46&lt;=B142,'班次明細'!H46&gt;=C142),1,0),0)+IF(RIGHT('班次明細'!O53,2)="控場",IF(AND('班次明細'!L53&gt;0,'班次明細'!G53&lt;=B142,'班次明細'!H53&gt;=C142),1,0),0)+IF(RIGHT('班次明細'!O60,2)="控場",IF(AND('班次明細'!L60&gt;0,'班次明細'!G60&lt;=B142,'班次明細'!H60&gt;=C142),1,0),0)+IF(RIGHT('班次明細'!O67,2)="控場",IF(AND('班次明細'!L67&gt;0,'班次明細'!G67&lt;=B142,'班次明細'!H67&gt;=C142),1,0),0)+IF(RIGHT('班次明細'!O74,2)="控場",IF(AND('班次明細'!L74&gt;0,'班次明細'!G74&lt;=B142,'班次明細'!H74&gt;=C142),1,0),0)+IF(RIGHT('班次明細'!O81,2)="控場",IF(AND('班次明細'!L81&gt;0,'班次明細'!G81&lt;=B142,'班次明細'!H81&gt;=C142),1,0),0))&gt;0,0,1)</x:f>
        <x:v>0</x:v>
      </x:c>
      <x:c r="K142" s="11" t="str">
        <x:v>P01:外場；P03:吧台；P04:控場；P05:炸區；P06:拍區；P07:料區；P09:司爐</x:v>
      </x:c>
      <x:c r="L142" s="11" t="str">
        <x:f>IF(OR(H142&gt;0,I142&gt;0,J142&gt;0),"缺口／超額待處理","主崗齊；休息待現場")</x:f>
        <x:v>主崗齊；休息待現場</x:v>
      </x:c>
    </x:row>
    <x:row r="143" ht="42" customHeight="1">
      <x:c r="A143" s="12" t="n">
        <x:v>46319</x:v>
      </x:c>
      <x:c r="B143" s="13" t="n">
        <x:v>0.7708333333333334</x:v>
      </x:c>
      <x:c r="C143" s="13" t="n">
        <x:v>0.7916666666666666</x:v>
      </x:c>
      <x:c r="D143" s="2" t="str">
        <x:v>晚餐主崗</x:v>
      </x:c>
      <x:c r="E143" s="2" t="n">
        <x:v>7</x:v>
      </x:c>
      <x:c r="F143" s="2" t="n">
        <x:v>7</x:v>
      </x:c>
      <x:c r="G143" s="2" t="n">
        <x:f>IF(AND('班次明細'!L11&gt;0,'班次明細'!G11&lt;=B143,'班次明細'!H11&gt;=C143),1,0)+IF(AND('班次明細'!L18&gt;0,'班次明細'!G18&lt;=B143,'班次明細'!H18&gt;=C143),1,0)+IF(AND('班次明細'!L25&gt;0,'班次明細'!G25&lt;=B143,'班次明細'!H25&gt;=C143),1,0)+IF(AND('班次明細'!L32&gt;0,'班次明細'!G32&lt;=B143,'班次明細'!H32&gt;=C143),1,0)+IF(AND('班次明細'!L39&gt;0,'班次明細'!G39&lt;=B143,'班次明細'!H39&gt;=C143),1,0)+IF(AND('班次明細'!L46&gt;0,'班次明細'!G46&lt;=B143,'班次明細'!H46&gt;=C143),1,0)+IF(AND('班次明細'!L53&gt;0,'班次明細'!G53&lt;=B143,'班次明細'!H53&gt;=C143),1,0)+IF(AND('班次明細'!L60&gt;0,'班次明細'!G60&lt;=B143,'班次明細'!H60&gt;=C143),1,0)+IF(AND('班次明細'!L67&gt;0,'班次明細'!G67&lt;=B143,'班次明細'!H67&gt;=C143),1,0)+IF(AND('班次明細'!L74&gt;0,'班次明細'!G74&lt;=B143,'班次明細'!H74&gt;=C143),1,0)+IF(AND('班次明細'!L81&gt;0,'班次明細'!G81&lt;=B143,'班次明細'!H81&gt;=C143),1,0)</x:f>
        <x:v>7</x:v>
      </x:c>
      <x:c r="H143" s="2" t="n">
        <x:f>MAX(0,E143-G143)</x:f>
        <x:v>0</x:v>
      </x:c>
      <x:c r="I143" s="2" t="n">
        <x:f>IF(F143="",0,MAX(0,G143-F143))</x:f>
        <x:v>0</x:v>
      </x:c>
      <x:c r="J143" s="2" t="n">
        <x:f>IF((IF(RIGHT('班次明細'!O11,2)="外場",IF(AND('班次明細'!L11&gt;0,'班次明細'!G11&lt;=B143,'班次明細'!H11&gt;=C143),1,0),0)+IF(RIGHT('班次明細'!O18,2)="外場",IF(AND('班次明細'!L18&gt;0,'班次明細'!G18&lt;=B143,'班次明細'!H18&gt;=C143),1,0),0)+IF(RIGHT('班次明細'!O25,2)="外場",IF(AND('班次明細'!L25&gt;0,'班次明細'!G25&lt;=B143,'班次明細'!H25&gt;=C143),1,0),0)+IF(RIGHT('班次明細'!O32,2)="外場",IF(AND('班次明細'!L32&gt;0,'班次明細'!G32&lt;=B143,'班次明細'!H32&gt;=C143),1,0),0)+IF(RIGHT('班次明細'!O39,2)="外場",IF(AND('班次明細'!L39&gt;0,'班次明細'!G39&lt;=B143,'班次明細'!H39&gt;=C143),1,0),0)+IF(RIGHT('班次明細'!O46,2)="外場",IF(AND('班次明細'!L46&gt;0,'班次明細'!G46&lt;=B143,'班次明細'!H46&gt;=C143),1,0),0)+IF(RIGHT('班次明細'!O53,2)="外場",IF(AND('班次明細'!L53&gt;0,'班次明細'!G53&lt;=B143,'班次明細'!H53&gt;=C143),1,0),0)+IF(RIGHT('班次明細'!O60,2)="外場",IF(AND('班次明細'!L60&gt;0,'班次明細'!G60&lt;=B143,'班次明細'!H60&gt;=C143),1,0),0)+IF(RIGHT('班次明細'!O67,2)="外場",IF(AND('班次明細'!L67&gt;0,'班次明細'!G67&lt;=B143,'班次明細'!H67&gt;=C143),1,0),0)+IF(RIGHT('班次明細'!O74,2)="外場",IF(AND('班次明細'!L74&gt;0,'班次明細'!G74&lt;=B143,'班次明細'!H74&gt;=C143),1,0),0)+IF(RIGHT('班次明細'!O81,2)="外場",IF(AND('班次明細'!L81&gt;0,'班次明細'!G81&lt;=B143,'班次明細'!H81&gt;=C143),1,0),0))&gt;0,0,1)+IF((IF(RIGHT('班次明細'!O11,2)="吧台",IF(AND('班次明細'!L11&gt;0,'班次明細'!G11&lt;=B143,'班次明細'!H11&gt;=C143),1,0),0)+IF(RIGHT('班次明細'!O18,2)="吧台",IF(AND('班次明細'!L18&gt;0,'班次明細'!G18&lt;=B143,'班次明細'!H18&gt;=C143),1,0),0)+IF(RIGHT('班次明細'!O25,2)="吧台",IF(AND('班次明細'!L25&gt;0,'班次明細'!G25&lt;=B143,'班次明細'!H25&gt;=C143),1,0),0)+IF(RIGHT('班次明細'!O32,2)="吧台",IF(AND('班次明細'!L32&gt;0,'班次明細'!G32&lt;=B143,'班次明細'!H32&gt;=C143),1,0),0)+IF(RIGHT('班次明細'!O39,2)="吧台",IF(AND('班次明細'!L39&gt;0,'班次明細'!G39&lt;=B143,'班次明細'!H39&gt;=C143),1,0),0)+IF(RIGHT('班次明細'!O46,2)="吧台",IF(AND('班次明細'!L46&gt;0,'班次明細'!G46&lt;=B143,'班次明細'!H46&gt;=C143),1,0),0)+IF(RIGHT('班次明細'!O53,2)="吧台",IF(AND('班次明細'!L53&gt;0,'班次明細'!G53&lt;=B143,'班次明細'!H53&gt;=C143),1,0),0)+IF(RIGHT('班次明細'!O60,2)="吧台",IF(AND('班次明細'!L60&gt;0,'班次明細'!G60&lt;=B143,'班次明細'!H60&gt;=C143),1,0),0)+IF(RIGHT('班次明細'!O67,2)="吧台",IF(AND('班次明細'!L67&gt;0,'班次明細'!G67&lt;=B143,'班次明細'!H67&gt;=C143),1,0),0)+IF(RIGHT('班次明細'!O74,2)="吧台",IF(AND('班次明細'!L74&gt;0,'班次明細'!G74&lt;=B143,'班次明細'!H74&gt;=C143),1,0),0)+IF(RIGHT('班次明細'!O81,2)="吧台",IF(AND('班次明細'!L81&gt;0,'班次明細'!G81&lt;=B143,'班次明細'!H81&gt;=C143),1,0),0))&gt;0,0,1)+IF((IF(RIGHT('班次明細'!O11,2)="司爐",IF(AND('班次明細'!L11&gt;0,'班次明細'!G11&lt;=B143,'班次明細'!H11&gt;=C143),1,0),0)+IF(RIGHT('班次明細'!O18,2)="司爐",IF(AND('班次明細'!L18&gt;0,'班次明細'!G18&lt;=B143,'班次明細'!H18&gt;=C143),1,0),0)+IF(RIGHT('班次明細'!O25,2)="司爐",IF(AND('班次明細'!L25&gt;0,'班次明細'!G25&lt;=B143,'班次明細'!H25&gt;=C143),1,0),0)+IF(RIGHT('班次明細'!O32,2)="司爐",IF(AND('班次明細'!L32&gt;0,'班次明細'!G32&lt;=B143,'班次明細'!H32&gt;=C143),1,0),0)+IF(RIGHT('班次明細'!O39,2)="司爐",IF(AND('班次明細'!L39&gt;0,'班次明細'!G39&lt;=B143,'班次明細'!H39&gt;=C143),1,0),0)+IF(RIGHT('班次明細'!O46,2)="司爐",IF(AND('班次明細'!L46&gt;0,'班次明細'!G46&lt;=B143,'班次明細'!H46&gt;=C143),1,0),0)+IF(RIGHT('班次明細'!O53,2)="司爐",IF(AND('班次明細'!L53&gt;0,'班次明細'!G53&lt;=B143,'班次明細'!H53&gt;=C143),1,0),0)+IF(RIGHT('班次明細'!O60,2)="司爐",IF(AND('班次明細'!L60&gt;0,'班次明細'!G60&lt;=B143,'班次明細'!H60&gt;=C143),1,0),0)+IF(RIGHT('班次明細'!O67,2)="司爐",IF(AND('班次明細'!L67&gt;0,'班次明細'!G67&lt;=B143,'班次明細'!H67&gt;=C143),1,0),0)+IF(RIGHT('班次明細'!O74,2)="司爐",IF(AND('班次明細'!L74&gt;0,'班次明細'!G74&lt;=B143,'班次明細'!H74&gt;=C143),1,0),0)+IF(RIGHT('班次明細'!O81,2)="司爐",IF(AND('班次明細'!L81&gt;0,'班次明細'!G81&lt;=B143,'班次明細'!H81&gt;=C143),1,0),0))&gt;0,0,1)+IF((IF(RIGHT('班次明細'!O11,2)="料區",IF(AND('班次明細'!L11&gt;0,'班次明細'!G11&lt;=B143,'班次明細'!H11&gt;=C143),1,0),0)+IF(RIGHT('班次明細'!O18,2)="料區",IF(AND('班次明細'!L18&gt;0,'班次明細'!G18&lt;=B143,'班次明細'!H18&gt;=C143),1,0),0)+IF(RIGHT('班次明細'!O25,2)="料區",IF(AND('班次明細'!L25&gt;0,'班次明細'!G25&lt;=B143,'班次明細'!H25&gt;=C143),1,0),0)+IF(RIGHT('班次明細'!O32,2)="料區",IF(AND('班次明細'!L32&gt;0,'班次明細'!G32&lt;=B143,'班次明細'!H32&gt;=C143),1,0),0)+IF(RIGHT('班次明細'!O39,2)="料區",IF(AND('班次明細'!L39&gt;0,'班次明細'!G39&lt;=B143,'班次明細'!H39&gt;=C143),1,0),0)+IF(RIGHT('班次明細'!O46,2)="料區",IF(AND('班次明細'!L46&gt;0,'班次明細'!G46&lt;=B143,'班次明細'!H46&gt;=C143),1,0),0)+IF(RIGHT('班次明細'!O53,2)="料區",IF(AND('班次明細'!L53&gt;0,'班次明細'!G53&lt;=B143,'班次明細'!H53&gt;=C143),1,0),0)+IF(RIGHT('班次明細'!O60,2)="料區",IF(AND('班次明細'!L60&gt;0,'班次明細'!G60&lt;=B143,'班次明細'!H60&gt;=C143),1,0),0)+IF(RIGHT('班次明細'!O67,2)="料區",IF(AND('班次明細'!L67&gt;0,'班次明細'!G67&lt;=B143,'班次明細'!H67&gt;=C143),1,0),0)+IF(RIGHT('班次明細'!O74,2)="料區",IF(AND('班次明細'!L74&gt;0,'班次明細'!G74&lt;=B143,'班次明細'!H74&gt;=C143),1,0),0)+IF(RIGHT('班次明細'!O81,2)="料區",IF(AND('班次明細'!L81&gt;0,'班次明細'!G81&lt;=B143,'班次明細'!H81&gt;=C143),1,0),0))&gt;0,0,1)+IF((IF(RIGHT('班次明細'!O11,2)="炸區",IF(AND('班次明細'!L11&gt;0,'班次明細'!G11&lt;=B143,'班次明細'!H11&gt;=C143),1,0),0)+IF(RIGHT('班次明細'!O18,2)="炸區",IF(AND('班次明細'!L18&gt;0,'班次明細'!G18&lt;=B143,'班次明細'!H18&gt;=C143),1,0),0)+IF(RIGHT('班次明細'!O25,2)="炸區",IF(AND('班次明細'!L25&gt;0,'班次明細'!G25&lt;=B143,'班次明細'!H25&gt;=C143),1,0),0)+IF(RIGHT('班次明細'!O32,2)="炸區",IF(AND('班次明細'!L32&gt;0,'班次明細'!G32&lt;=B143,'班次明細'!H32&gt;=C143),1,0),0)+IF(RIGHT('班次明細'!O39,2)="炸區",IF(AND('班次明細'!L39&gt;0,'班次明細'!G39&lt;=B143,'班次明細'!H39&gt;=C143),1,0),0)+IF(RIGHT('班次明細'!O46,2)="炸區",IF(AND('班次明細'!L46&gt;0,'班次明細'!G46&lt;=B143,'班次明細'!H46&gt;=C143),1,0),0)+IF(RIGHT('班次明細'!O53,2)="炸區",IF(AND('班次明細'!L53&gt;0,'班次明細'!G53&lt;=B143,'班次明細'!H53&gt;=C143),1,0),0)+IF(RIGHT('班次明細'!O60,2)="炸區",IF(AND('班次明細'!L60&gt;0,'班次明細'!G60&lt;=B143,'班次明細'!H60&gt;=C143),1,0),0)+IF(RIGHT('班次明細'!O67,2)="炸區",IF(AND('班次明細'!L67&gt;0,'班次明細'!G67&lt;=B143,'班次明細'!H67&gt;=C143),1,0),0)+IF(RIGHT('班次明細'!O74,2)="炸區",IF(AND('班次明細'!L74&gt;0,'班次明細'!G74&lt;=B143,'班次明細'!H74&gt;=C143),1,0),0)+IF(RIGHT('班次明細'!O81,2)="炸區",IF(AND('班次明細'!L81&gt;0,'班次明細'!G81&lt;=B143,'班次明細'!H81&gt;=C143),1,0),0))&gt;0,0,1)+IF((IF(RIGHT('班次明細'!O11,2)="拍區",IF(AND('班次明細'!L11&gt;0,'班次明細'!G11&lt;=B143,'班次明細'!H11&gt;=C143),1,0),0)+IF(RIGHT('班次明細'!O18,2)="拍區",IF(AND('班次明細'!L18&gt;0,'班次明細'!G18&lt;=B143,'班次明細'!H18&gt;=C143),1,0),0)+IF(RIGHT('班次明細'!O25,2)="拍區",IF(AND('班次明細'!L25&gt;0,'班次明細'!G25&lt;=B143,'班次明細'!H25&gt;=C143),1,0),0)+IF(RIGHT('班次明細'!O32,2)="拍區",IF(AND('班次明細'!L32&gt;0,'班次明細'!G32&lt;=B143,'班次明細'!H32&gt;=C143),1,0),0)+IF(RIGHT('班次明細'!O39,2)="拍區",IF(AND('班次明細'!L39&gt;0,'班次明細'!G39&lt;=B143,'班次明細'!H39&gt;=C143),1,0),0)+IF(RIGHT('班次明細'!O46,2)="拍區",IF(AND('班次明細'!L46&gt;0,'班次明細'!G46&lt;=B143,'班次明細'!H46&gt;=C143),1,0),0)+IF(RIGHT('班次明細'!O53,2)="拍區",IF(AND('班次明細'!L53&gt;0,'班次明細'!G53&lt;=B143,'班次明細'!H53&gt;=C143),1,0),0)+IF(RIGHT('班次明細'!O60,2)="拍區",IF(AND('班次明細'!L60&gt;0,'班次明細'!G60&lt;=B143,'班次明細'!H60&gt;=C143),1,0),0)+IF(RIGHT('班次明細'!O67,2)="拍區",IF(AND('班次明細'!L67&gt;0,'班次明細'!G67&lt;=B143,'班次明細'!H67&gt;=C143),1,0),0)+IF(RIGHT('班次明細'!O74,2)="拍區",IF(AND('班次明細'!L74&gt;0,'班次明細'!G74&lt;=B143,'班次明細'!H74&gt;=C143),1,0),0)+IF(RIGHT('班次明細'!O81,2)="拍區",IF(AND('班次明細'!L81&gt;0,'班次明細'!G81&lt;=B143,'班次明細'!H81&gt;=C143),1,0),0))&gt;0,0,1)+IF((IF(RIGHT('班次明細'!O11,2)="控場",IF(AND('班次明細'!L11&gt;0,'班次明細'!G11&lt;=B143,'班次明細'!H11&gt;=C143),1,0),0)+IF(RIGHT('班次明細'!O18,2)="控場",IF(AND('班次明細'!L18&gt;0,'班次明細'!G18&lt;=B143,'班次明細'!H18&gt;=C143),1,0),0)+IF(RIGHT('班次明細'!O25,2)="控場",IF(AND('班次明細'!L25&gt;0,'班次明細'!G25&lt;=B143,'班次明細'!H25&gt;=C143),1,0),0)+IF(RIGHT('班次明細'!O32,2)="控場",IF(AND('班次明細'!L32&gt;0,'班次明細'!G32&lt;=B143,'班次明細'!H32&gt;=C143),1,0),0)+IF(RIGHT('班次明細'!O39,2)="控場",IF(AND('班次明細'!L39&gt;0,'班次明細'!G39&lt;=B143,'班次明細'!H39&gt;=C143),1,0),0)+IF(RIGHT('班次明細'!O46,2)="控場",IF(AND('班次明細'!L46&gt;0,'班次明細'!G46&lt;=B143,'班次明細'!H46&gt;=C143),1,0),0)+IF(RIGHT('班次明細'!O53,2)="控場",IF(AND('班次明細'!L53&gt;0,'班次明細'!G53&lt;=B143,'班次明細'!H53&gt;=C143),1,0),0)+IF(RIGHT('班次明細'!O60,2)="控場",IF(AND('班次明細'!L60&gt;0,'班次明細'!G60&lt;=B143,'班次明細'!H60&gt;=C143),1,0),0)+IF(RIGHT('班次明細'!O67,2)="控場",IF(AND('班次明細'!L67&gt;0,'班次明細'!G67&lt;=B143,'班次明細'!H67&gt;=C143),1,0),0)+IF(RIGHT('班次明細'!O74,2)="控場",IF(AND('班次明細'!L74&gt;0,'班次明細'!G74&lt;=B143,'班次明細'!H74&gt;=C143),1,0),0)+IF(RIGHT('班次明細'!O81,2)="控場",IF(AND('班次明細'!L81&gt;0,'班次明細'!G81&lt;=B143,'班次明細'!H81&gt;=C143),1,0),0))&gt;0,0,1)</x:f>
        <x:v>0</x:v>
      </x:c>
      <x:c r="K143" s="11" t="str">
        <x:v>P01:外場；P03:吧台；P04:控場；P05:炸區；P06:拍區；P07:料區；P09:司爐</x:v>
      </x:c>
      <x:c r="L143" s="11" t="str">
        <x:f>IF(OR(H143&gt;0,I143&gt;0,J143&gt;0),"缺口／超額待處理","主崗齊；休息待現場")</x:f>
        <x:v>主崗齊；休息待現場</x:v>
      </x:c>
    </x:row>
    <x:row r="144" ht="42" customHeight="1">
      <x:c r="A144" s="12" t="n">
        <x:v>46319</x:v>
      </x:c>
      <x:c r="B144" s="13" t="n">
        <x:v>0.7916666666666666</x:v>
      </x:c>
      <x:c r="C144" s="13" t="n">
        <x:v>0.8125</x:v>
      </x:c>
      <x:c r="D144" s="2" t="str">
        <x:v>晚餐主崗</x:v>
      </x:c>
      <x:c r="E144" s="2" t="n">
        <x:v>7</x:v>
      </x:c>
      <x:c r="F144" s="2" t="n">
        <x:v>7</x:v>
      </x:c>
      <x:c r="G144" s="2" t="n">
        <x:f>IF(AND('班次明細'!L11&gt;0,'班次明細'!G11&lt;=B144,'班次明細'!H11&gt;=C144),1,0)+IF(AND('班次明細'!L18&gt;0,'班次明細'!G18&lt;=B144,'班次明細'!H18&gt;=C144),1,0)+IF(AND('班次明細'!L25&gt;0,'班次明細'!G25&lt;=B144,'班次明細'!H25&gt;=C144),1,0)+IF(AND('班次明細'!L32&gt;0,'班次明細'!G32&lt;=B144,'班次明細'!H32&gt;=C144),1,0)+IF(AND('班次明細'!L39&gt;0,'班次明細'!G39&lt;=B144,'班次明細'!H39&gt;=C144),1,0)+IF(AND('班次明細'!L46&gt;0,'班次明細'!G46&lt;=B144,'班次明細'!H46&gt;=C144),1,0)+IF(AND('班次明細'!L53&gt;0,'班次明細'!G53&lt;=B144,'班次明細'!H53&gt;=C144),1,0)+IF(AND('班次明細'!L60&gt;0,'班次明細'!G60&lt;=B144,'班次明細'!H60&gt;=C144),1,0)+IF(AND('班次明細'!L67&gt;0,'班次明細'!G67&lt;=B144,'班次明細'!H67&gt;=C144),1,0)+IF(AND('班次明細'!L74&gt;0,'班次明細'!G74&lt;=B144,'班次明細'!H74&gt;=C144),1,0)+IF(AND('班次明細'!L81&gt;0,'班次明細'!G81&lt;=B144,'班次明細'!H81&gt;=C144),1,0)</x:f>
        <x:v>7</x:v>
      </x:c>
      <x:c r="H144" s="2" t="n">
        <x:f>MAX(0,E144-G144)</x:f>
        <x:v>0</x:v>
      </x:c>
      <x:c r="I144" s="2" t="n">
        <x:f>IF(F144="",0,MAX(0,G144-F144))</x:f>
        <x:v>0</x:v>
      </x:c>
      <x:c r="J144" s="2" t="n">
        <x:f>IF((IF(RIGHT('班次明細'!O11,2)="外場",IF(AND('班次明細'!L11&gt;0,'班次明細'!G11&lt;=B144,'班次明細'!H11&gt;=C144),1,0),0)+IF(RIGHT('班次明細'!O18,2)="外場",IF(AND('班次明細'!L18&gt;0,'班次明細'!G18&lt;=B144,'班次明細'!H18&gt;=C144),1,0),0)+IF(RIGHT('班次明細'!O25,2)="外場",IF(AND('班次明細'!L25&gt;0,'班次明細'!G25&lt;=B144,'班次明細'!H25&gt;=C144),1,0),0)+IF(RIGHT('班次明細'!O32,2)="外場",IF(AND('班次明細'!L32&gt;0,'班次明細'!G32&lt;=B144,'班次明細'!H32&gt;=C144),1,0),0)+IF(RIGHT('班次明細'!O39,2)="外場",IF(AND('班次明細'!L39&gt;0,'班次明細'!G39&lt;=B144,'班次明細'!H39&gt;=C144),1,0),0)+IF(RIGHT('班次明細'!O46,2)="外場",IF(AND('班次明細'!L46&gt;0,'班次明細'!G46&lt;=B144,'班次明細'!H46&gt;=C144),1,0),0)+IF(RIGHT('班次明細'!O53,2)="外場",IF(AND('班次明細'!L53&gt;0,'班次明細'!G53&lt;=B144,'班次明細'!H53&gt;=C144),1,0),0)+IF(RIGHT('班次明細'!O60,2)="外場",IF(AND('班次明細'!L60&gt;0,'班次明細'!G60&lt;=B144,'班次明細'!H60&gt;=C144),1,0),0)+IF(RIGHT('班次明細'!O67,2)="外場",IF(AND('班次明細'!L67&gt;0,'班次明細'!G67&lt;=B144,'班次明細'!H67&gt;=C144),1,0),0)+IF(RIGHT('班次明細'!O74,2)="外場",IF(AND('班次明細'!L74&gt;0,'班次明細'!G74&lt;=B144,'班次明細'!H74&gt;=C144),1,0),0)+IF(RIGHT('班次明細'!O81,2)="外場",IF(AND('班次明細'!L81&gt;0,'班次明細'!G81&lt;=B144,'班次明細'!H81&gt;=C144),1,0),0))&gt;0,0,1)+IF((IF(RIGHT('班次明細'!O11,2)="吧台",IF(AND('班次明細'!L11&gt;0,'班次明細'!G11&lt;=B144,'班次明細'!H11&gt;=C144),1,0),0)+IF(RIGHT('班次明細'!O18,2)="吧台",IF(AND('班次明細'!L18&gt;0,'班次明細'!G18&lt;=B144,'班次明細'!H18&gt;=C144),1,0),0)+IF(RIGHT('班次明細'!O25,2)="吧台",IF(AND('班次明細'!L25&gt;0,'班次明細'!G25&lt;=B144,'班次明細'!H25&gt;=C144),1,0),0)+IF(RIGHT('班次明細'!O32,2)="吧台",IF(AND('班次明細'!L32&gt;0,'班次明細'!G32&lt;=B144,'班次明細'!H32&gt;=C144),1,0),0)+IF(RIGHT('班次明細'!O39,2)="吧台",IF(AND('班次明細'!L39&gt;0,'班次明細'!G39&lt;=B144,'班次明細'!H39&gt;=C144),1,0),0)+IF(RIGHT('班次明細'!O46,2)="吧台",IF(AND('班次明細'!L46&gt;0,'班次明細'!G46&lt;=B144,'班次明細'!H46&gt;=C144),1,0),0)+IF(RIGHT('班次明細'!O53,2)="吧台",IF(AND('班次明細'!L53&gt;0,'班次明細'!G53&lt;=B144,'班次明細'!H53&gt;=C144),1,0),0)+IF(RIGHT('班次明細'!O60,2)="吧台",IF(AND('班次明細'!L60&gt;0,'班次明細'!G60&lt;=B144,'班次明細'!H60&gt;=C144),1,0),0)+IF(RIGHT('班次明細'!O67,2)="吧台",IF(AND('班次明細'!L67&gt;0,'班次明細'!G67&lt;=B144,'班次明細'!H67&gt;=C144),1,0),0)+IF(RIGHT('班次明細'!O74,2)="吧台",IF(AND('班次明細'!L74&gt;0,'班次明細'!G74&lt;=B144,'班次明細'!H74&gt;=C144),1,0),0)+IF(RIGHT('班次明細'!O81,2)="吧台",IF(AND('班次明細'!L81&gt;0,'班次明細'!G81&lt;=B144,'班次明細'!H81&gt;=C144),1,0),0))&gt;0,0,1)+IF((IF(RIGHT('班次明細'!O11,2)="司爐",IF(AND('班次明細'!L11&gt;0,'班次明細'!G11&lt;=B144,'班次明細'!H11&gt;=C144),1,0),0)+IF(RIGHT('班次明細'!O18,2)="司爐",IF(AND('班次明細'!L18&gt;0,'班次明細'!G18&lt;=B144,'班次明細'!H18&gt;=C144),1,0),0)+IF(RIGHT('班次明細'!O25,2)="司爐",IF(AND('班次明細'!L25&gt;0,'班次明細'!G25&lt;=B144,'班次明細'!H25&gt;=C144),1,0),0)+IF(RIGHT('班次明細'!O32,2)="司爐",IF(AND('班次明細'!L32&gt;0,'班次明細'!G32&lt;=B144,'班次明細'!H32&gt;=C144),1,0),0)+IF(RIGHT('班次明細'!O39,2)="司爐",IF(AND('班次明細'!L39&gt;0,'班次明細'!G39&lt;=B144,'班次明細'!H39&gt;=C144),1,0),0)+IF(RIGHT('班次明細'!O46,2)="司爐",IF(AND('班次明細'!L46&gt;0,'班次明細'!G46&lt;=B144,'班次明細'!H46&gt;=C144),1,0),0)+IF(RIGHT('班次明細'!O53,2)="司爐",IF(AND('班次明細'!L53&gt;0,'班次明細'!G53&lt;=B144,'班次明細'!H53&gt;=C144),1,0),0)+IF(RIGHT('班次明細'!O60,2)="司爐",IF(AND('班次明細'!L60&gt;0,'班次明細'!G60&lt;=B144,'班次明細'!H60&gt;=C144),1,0),0)+IF(RIGHT('班次明細'!O67,2)="司爐",IF(AND('班次明細'!L67&gt;0,'班次明細'!G67&lt;=B144,'班次明細'!H67&gt;=C144),1,0),0)+IF(RIGHT('班次明細'!O74,2)="司爐",IF(AND('班次明細'!L74&gt;0,'班次明細'!G74&lt;=B144,'班次明細'!H74&gt;=C144),1,0),0)+IF(RIGHT('班次明細'!O81,2)="司爐",IF(AND('班次明細'!L81&gt;0,'班次明細'!G81&lt;=B144,'班次明細'!H81&gt;=C144),1,0),0))&gt;0,0,1)+IF((IF(RIGHT('班次明細'!O11,2)="料區",IF(AND('班次明細'!L11&gt;0,'班次明細'!G11&lt;=B144,'班次明細'!H11&gt;=C144),1,0),0)+IF(RIGHT('班次明細'!O18,2)="料區",IF(AND('班次明細'!L18&gt;0,'班次明細'!G18&lt;=B144,'班次明細'!H18&gt;=C144),1,0),0)+IF(RIGHT('班次明細'!O25,2)="料區",IF(AND('班次明細'!L25&gt;0,'班次明細'!G25&lt;=B144,'班次明細'!H25&gt;=C144),1,0),0)+IF(RIGHT('班次明細'!O32,2)="料區",IF(AND('班次明細'!L32&gt;0,'班次明細'!G32&lt;=B144,'班次明細'!H32&gt;=C144),1,0),0)+IF(RIGHT('班次明細'!O39,2)="料區",IF(AND('班次明細'!L39&gt;0,'班次明細'!G39&lt;=B144,'班次明細'!H39&gt;=C144),1,0),0)+IF(RIGHT('班次明細'!O46,2)="料區",IF(AND('班次明細'!L46&gt;0,'班次明細'!G46&lt;=B144,'班次明細'!H46&gt;=C144),1,0),0)+IF(RIGHT('班次明細'!O53,2)="料區",IF(AND('班次明細'!L53&gt;0,'班次明細'!G53&lt;=B144,'班次明細'!H53&gt;=C144),1,0),0)+IF(RIGHT('班次明細'!O60,2)="料區",IF(AND('班次明細'!L60&gt;0,'班次明細'!G60&lt;=B144,'班次明細'!H60&gt;=C144),1,0),0)+IF(RIGHT('班次明細'!O67,2)="料區",IF(AND('班次明細'!L67&gt;0,'班次明細'!G67&lt;=B144,'班次明細'!H67&gt;=C144),1,0),0)+IF(RIGHT('班次明細'!O74,2)="料區",IF(AND('班次明細'!L74&gt;0,'班次明細'!G74&lt;=B144,'班次明細'!H74&gt;=C144),1,0),0)+IF(RIGHT('班次明細'!O81,2)="料區",IF(AND('班次明細'!L81&gt;0,'班次明細'!G81&lt;=B144,'班次明細'!H81&gt;=C144),1,0),0))&gt;0,0,1)+IF((IF(RIGHT('班次明細'!O11,2)="炸區",IF(AND('班次明細'!L11&gt;0,'班次明細'!G11&lt;=B144,'班次明細'!H11&gt;=C144),1,0),0)+IF(RIGHT('班次明細'!O18,2)="炸區",IF(AND('班次明細'!L18&gt;0,'班次明細'!G18&lt;=B144,'班次明細'!H18&gt;=C144),1,0),0)+IF(RIGHT('班次明細'!O25,2)="炸區",IF(AND('班次明細'!L25&gt;0,'班次明細'!G25&lt;=B144,'班次明細'!H25&gt;=C144),1,0),0)+IF(RIGHT('班次明細'!O32,2)="炸區",IF(AND('班次明細'!L32&gt;0,'班次明細'!G32&lt;=B144,'班次明細'!H32&gt;=C144),1,0),0)+IF(RIGHT('班次明細'!O39,2)="炸區",IF(AND('班次明細'!L39&gt;0,'班次明細'!G39&lt;=B144,'班次明細'!H39&gt;=C144),1,0),0)+IF(RIGHT('班次明細'!O46,2)="炸區",IF(AND('班次明細'!L46&gt;0,'班次明細'!G46&lt;=B144,'班次明細'!H46&gt;=C144),1,0),0)+IF(RIGHT('班次明細'!O53,2)="炸區",IF(AND('班次明細'!L53&gt;0,'班次明細'!G53&lt;=B144,'班次明細'!H53&gt;=C144),1,0),0)+IF(RIGHT('班次明細'!O60,2)="炸區",IF(AND('班次明細'!L60&gt;0,'班次明細'!G60&lt;=B144,'班次明細'!H60&gt;=C144),1,0),0)+IF(RIGHT('班次明細'!O67,2)="炸區",IF(AND('班次明細'!L67&gt;0,'班次明細'!G67&lt;=B144,'班次明細'!H67&gt;=C144),1,0),0)+IF(RIGHT('班次明細'!O74,2)="炸區",IF(AND('班次明細'!L74&gt;0,'班次明細'!G74&lt;=B144,'班次明細'!H74&gt;=C144),1,0),0)+IF(RIGHT('班次明細'!O81,2)="炸區",IF(AND('班次明細'!L81&gt;0,'班次明細'!G81&lt;=B144,'班次明細'!H81&gt;=C144),1,0),0))&gt;0,0,1)+IF((IF(RIGHT('班次明細'!O11,2)="拍區",IF(AND('班次明細'!L11&gt;0,'班次明細'!G11&lt;=B144,'班次明細'!H11&gt;=C144),1,0),0)+IF(RIGHT('班次明細'!O18,2)="拍區",IF(AND('班次明細'!L18&gt;0,'班次明細'!G18&lt;=B144,'班次明細'!H18&gt;=C144),1,0),0)+IF(RIGHT('班次明細'!O25,2)="拍區",IF(AND('班次明細'!L25&gt;0,'班次明細'!G25&lt;=B144,'班次明細'!H25&gt;=C144),1,0),0)+IF(RIGHT('班次明細'!O32,2)="拍區",IF(AND('班次明細'!L32&gt;0,'班次明細'!G32&lt;=B144,'班次明細'!H32&gt;=C144),1,0),0)+IF(RIGHT('班次明細'!O39,2)="拍區",IF(AND('班次明細'!L39&gt;0,'班次明細'!G39&lt;=B144,'班次明細'!H39&gt;=C144),1,0),0)+IF(RIGHT('班次明細'!O46,2)="拍區",IF(AND('班次明細'!L46&gt;0,'班次明細'!G46&lt;=B144,'班次明細'!H46&gt;=C144),1,0),0)+IF(RIGHT('班次明細'!O53,2)="拍區",IF(AND('班次明細'!L53&gt;0,'班次明細'!G53&lt;=B144,'班次明細'!H53&gt;=C144),1,0),0)+IF(RIGHT('班次明細'!O60,2)="拍區",IF(AND('班次明細'!L60&gt;0,'班次明細'!G60&lt;=B144,'班次明細'!H60&gt;=C144),1,0),0)+IF(RIGHT('班次明細'!O67,2)="拍區",IF(AND('班次明細'!L67&gt;0,'班次明細'!G67&lt;=B144,'班次明細'!H67&gt;=C144),1,0),0)+IF(RIGHT('班次明細'!O74,2)="拍區",IF(AND('班次明細'!L74&gt;0,'班次明細'!G74&lt;=B144,'班次明細'!H74&gt;=C144),1,0),0)+IF(RIGHT('班次明細'!O81,2)="拍區",IF(AND('班次明細'!L81&gt;0,'班次明細'!G81&lt;=B144,'班次明細'!H81&gt;=C144),1,0),0))&gt;0,0,1)+IF((IF(RIGHT('班次明細'!O11,2)="控場",IF(AND('班次明細'!L11&gt;0,'班次明細'!G11&lt;=B144,'班次明細'!H11&gt;=C144),1,0),0)+IF(RIGHT('班次明細'!O18,2)="控場",IF(AND('班次明細'!L18&gt;0,'班次明細'!G18&lt;=B144,'班次明細'!H18&gt;=C144),1,0),0)+IF(RIGHT('班次明細'!O25,2)="控場",IF(AND('班次明細'!L25&gt;0,'班次明細'!G25&lt;=B144,'班次明細'!H25&gt;=C144),1,0),0)+IF(RIGHT('班次明細'!O32,2)="控場",IF(AND('班次明細'!L32&gt;0,'班次明細'!G32&lt;=B144,'班次明細'!H32&gt;=C144),1,0),0)+IF(RIGHT('班次明細'!O39,2)="控場",IF(AND('班次明細'!L39&gt;0,'班次明細'!G39&lt;=B144,'班次明細'!H39&gt;=C144),1,0),0)+IF(RIGHT('班次明細'!O46,2)="控場",IF(AND('班次明細'!L46&gt;0,'班次明細'!G46&lt;=B144,'班次明細'!H46&gt;=C144),1,0),0)+IF(RIGHT('班次明細'!O53,2)="控場",IF(AND('班次明細'!L53&gt;0,'班次明細'!G53&lt;=B144,'班次明細'!H53&gt;=C144),1,0),0)+IF(RIGHT('班次明細'!O60,2)="控場",IF(AND('班次明細'!L60&gt;0,'班次明細'!G60&lt;=B144,'班次明細'!H60&gt;=C144),1,0),0)+IF(RIGHT('班次明細'!O67,2)="控場",IF(AND('班次明細'!L67&gt;0,'班次明細'!G67&lt;=B144,'班次明細'!H67&gt;=C144),1,0),0)+IF(RIGHT('班次明細'!O74,2)="控場",IF(AND('班次明細'!L74&gt;0,'班次明細'!G74&lt;=B144,'班次明細'!H74&gt;=C144),1,0),0)+IF(RIGHT('班次明細'!O81,2)="控場",IF(AND('班次明細'!L81&gt;0,'班次明細'!G81&lt;=B144,'班次明細'!H81&gt;=C144),1,0),0))&gt;0,0,1)</x:f>
        <x:v>0</x:v>
      </x:c>
      <x:c r="K144" s="11" t="str">
        <x:v>P01:外場；P03:吧台；P04:控場；P05:炸區；P06:拍區；P07:料區；P09:司爐</x:v>
      </x:c>
      <x:c r="L144" s="11" t="str">
        <x:f>IF(OR(H144&gt;0,I144&gt;0,J144&gt;0),"缺口／超額待處理","主崗齊；休息待現場")</x:f>
        <x:v>主崗齊；休息待現場</x:v>
      </x:c>
    </x:row>
    <x:row r="145" ht="42" customHeight="1">
      <x:c r="A145" s="12" t="n">
        <x:v>46319</x:v>
      </x:c>
      <x:c r="B145" s="13" t="n">
        <x:v>0.8125</x:v>
      </x:c>
      <x:c r="C145" s="13" t="n">
        <x:v>0.8333333333333334</x:v>
      </x:c>
      <x:c r="D145" s="2" t="str">
        <x:v>晚餐主崗</x:v>
      </x:c>
      <x:c r="E145" s="2" t="n">
        <x:v>7</x:v>
      </x:c>
      <x:c r="F145" s="2" t="n">
        <x:v>7</x:v>
      </x:c>
      <x:c r="G145" s="2" t="n">
        <x:f>IF(AND('班次明細'!L11&gt;0,'班次明細'!G11&lt;=B145,'班次明細'!H11&gt;=C145),1,0)+IF(AND('班次明細'!L18&gt;0,'班次明細'!G18&lt;=B145,'班次明細'!H18&gt;=C145),1,0)+IF(AND('班次明細'!L25&gt;0,'班次明細'!G25&lt;=B145,'班次明細'!H25&gt;=C145),1,0)+IF(AND('班次明細'!L32&gt;0,'班次明細'!G32&lt;=B145,'班次明細'!H32&gt;=C145),1,0)+IF(AND('班次明細'!L39&gt;0,'班次明細'!G39&lt;=B145,'班次明細'!H39&gt;=C145),1,0)+IF(AND('班次明細'!L46&gt;0,'班次明細'!G46&lt;=B145,'班次明細'!H46&gt;=C145),1,0)+IF(AND('班次明細'!L53&gt;0,'班次明細'!G53&lt;=B145,'班次明細'!H53&gt;=C145),1,0)+IF(AND('班次明細'!L60&gt;0,'班次明細'!G60&lt;=B145,'班次明細'!H60&gt;=C145),1,0)+IF(AND('班次明細'!L67&gt;0,'班次明細'!G67&lt;=B145,'班次明細'!H67&gt;=C145),1,0)+IF(AND('班次明細'!L74&gt;0,'班次明細'!G74&lt;=B145,'班次明細'!H74&gt;=C145),1,0)+IF(AND('班次明細'!L81&gt;0,'班次明細'!G81&lt;=B145,'班次明細'!H81&gt;=C145),1,0)</x:f>
        <x:v>7</x:v>
      </x:c>
      <x:c r="H145" s="2" t="n">
        <x:f>MAX(0,E145-G145)</x:f>
        <x:v>0</x:v>
      </x:c>
      <x:c r="I145" s="2" t="n">
        <x:f>IF(F145="",0,MAX(0,G145-F145))</x:f>
        <x:v>0</x:v>
      </x:c>
      <x:c r="J145" s="2" t="n">
        <x:f>IF((IF(RIGHT('班次明細'!O11,2)="外場",IF(AND('班次明細'!L11&gt;0,'班次明細'!G11&lt;=B145,'班次明細'!H11&gt;=C145),1,0),0)+IF(RIGHT('班次明細'!O18,2)="外場",IF(AND('班次明細'!L18&gt;0,'班次明細'!G18&lt;=B145,'班次明細'!H18&gt;=C145),1,0),0)+IF(RIGHT('班次明細'!O25,2)="外場",IF(AND('班次明細'!L25&gt;0,'班次明細'!G25&lt;=B145,'班次明細'!H25&gt;=C145),1,0),0)+IF(RIGHT('班次明細'!O32,2)="外場",IF(AND('班次明細'!L32&gt;0,'班次明細'!G32&lt;=B145,'班次明細'!H32&gt;=C145),1,0),0)+IF(RIGHT('班次明細'!O39,2)="外場",IF(AND('班次明細'!L39&gt;0,'班次明細'!G39&lt;=B145,'班次明細'!H39&gt;=C145),1,0),0)+IF(RIGHT('班次明細'!O46,2)="外場",IF(AND('班次明細'!L46&gt;0,'班次明細'!G46&lt;=B145,'班次明細'!H46&gt;=C145),1,0),0)+IF(RIGHT('班次明細'!O53,2)="外場",IF(AND('班次明細'!L53&gt;0,'班次明細'!G53&lt;=B145,'班次明細'!H53&gt;=C145),1,0),0)+IF(RIGHT('班次明細'!O60,2)="外場",IF(AND('班次明細'!L60&gt;0,'班次明細'!G60&lt;=B145,'班次明細'!H60&gt;=C145),1,0),0)+IF(RIGHT('班次明細'!O67,2)="外場",IF(AND('班次明細'!L67&gt;0,'班次明細'!G67&lt;=B145,'班次明細'!H67&gt;=C145),1,0),0)+IF(RIGHT('班次明細'!O74,2)="外場",IF(AND('班次明細'!L74&gt;0,'班次明細'!G74&lt;=B145,'班次明細'!H74&gt;=C145),1,0),0)+IF(RIGHT('班次明細'!O81,2)="外場",IF(AND('班次明細'!L81&gt;0,'班次明細'!G81&lt;=B145,'班次明細'!H81&gt;=C145),1,0),0))&gt;0,0,1)+IF((IF(RIGHT('班次明細'!O11,2)="吧台",IF(AND('班次明細'!L11&gt;0,'班次明細'!G11&lt;=B145,'班次明細'!H11&gt;=C145),1,0),0)+IF(RIGHT('班次明細'!O18,2)="吧台",IF(AND('班次明細'!L18&gt;0,'班次明細'!G18&lt;=B145,'班次明細'!H18&gt;=C145),1,0),0)+IF(RIGHT('班次明細'!O25,2)="吧台",IF(AND('班次明細'!L25&gt;0,'班次明細'!G25&lt;=B145,'班次明細'!H25&gt;=C145),1,0),0)+IF(RIGHT('班次明細'!O32,2)="吧台",IF(AND('班次明細'!L32&gt;0,'班次明細'!G32&lt;=B145,'班次明細'!H32&gt;=C145),1,0),0)+IF(RIGHT('班次明細'!O39,2)="吧台",IF(AND('班次明細'!L39&gt;0,'班次明細'!G39&lt;=B145,'班次明細'!H39&gt;=C145),1,0),0)+IF(RIGHT('班次明細'!O46,2)="吧台",IF(AND('班次明細'!L46&gt;0,'班次明細'!G46&lt;=B145,'班次明細'!H46&gt;=C145),1,0),0)+IF(RIGHT('班次明細'!O53,2)="吧台",IF(AND('班次明細'!L53&gt;0,'班次明細'!G53&lt;=B145,'班次明細'!H53&gt;=C145),1,0),0)+IF(RIGHT('班次明細'!O60,2)="吧台",IF(AND('班次明細'!L60&gt;0,'班次明細'!G60&lt;=B145,'班次明細'!H60&gt;=C145),1,0),0)+IF(RIGHT('班次明細'!O67,2)="吧台",IF(AND('班次明細'!L67&gt;0,'班次明細'!G67&lt;=B145,'班次明細'!H67&gt;=C145),1,0),0)+IF(RIGHT('班次明細'!O74,2)="吧台",IF(AND('班次明細'!L74&gt;0,'班次明細'!G74&lt;=B145,'班次明細'!H74&gt;=C145),1,0),0)+IF(RIGHT('班次明細'!O81,2)="吧台",IF(AND('班次明細'!L81&gt;0,'班次明細'!G81&lt;=B145,'班次明細'!H81&gt;=C145),1,0),0))&gt;0,0,1)+IF((IF(RIGHT('班次明細'!O11,2)="司爐",IF(AND('班次明細'!L11&gt;0,'班次明細'!G11&lt;=B145,'班次明細'!H11&gt;=C145),1,0),0)+IF(RIGHT('班次明細'!O18,2)="司爐",IF(AND('班次明細'!L18&gt;0,'班次明細'!G18&lt;=B145,'班次明細'!H18&gt;=C145),1,0),0)+IF(RIGHT('班次明細'!O25,2)="司爐",IF(AND('班次明細'!L25&gt;0,'班次明細'!G25&lt;=B145,'班次明細'!H25&gt;=C145),1,0),0)+IF(RIGHT('班次明細'!O32,2)="司爐",IF(AND('班次明細'!L32&gt;0,'班次明細'!G32&lt;=B145,'班次明細'!H32&gt;=C145),1,0),0)+IF(RIGHT('班次明細'!O39,2)="司爐",IF(AND('班次明細'!L39&gt;0,'班次明細'!G39&lt;=B145,'班次明細'!H39&gt;=C145),1,0),0)+IF(RIGHT('班次明細'!O46,2)="司爐",IF(AND('班次明細'!L46&gt;0,'班次明細'!G46&lt;=B145,'班次明細'!H46&gt;=C145),1,0),0)+IF(RIGHT('班次明細'!O53,2)="司爐",IF(AND('班次明細'!L53&gt;0,'班次明細'!G53&lt;=B145,'班次明細'!H53&gt;=C145),1,0),0)+IF(RIGHT('班次明細'!O60,2)="司爐",IF(AND('班次明細'!L60&gt;0,'班次明細'!G60&lt;=B145,'班次明細'!H60&gt;=C145),1,0),0)+IF(RIGHT('班次明細'!O67,2)="司爐",IF(AND('班次明細'!L67&gt;0,'班次明細'!G67&lt;=B145,'班次明細'!H67&gt;=C145),1,0),0)+IF(RIGHT('班次明細'!O74,2)="司爐",IF(AND('班次明細'!L74&gt;0,'班次明細'!G74&lt;=B145,'班次明細'!H74&gt;=C145),1,0),0)+IF(RIGHT('班次明細'!O81,2)="司爐",IF(AND('班次明細'!L81&gt;0,'班次明細'!G81&lt;=B145,'班次明細'!H81&gt;=C145),1,0),0))&gt;0,0,1)+IF((IF(RIGHT('班次明細'!O11,2)="料區",IF(AND('班次明細'!L11&gt;0,'班次明細'!G11&lt;=B145,'班次明細'!H11&gt;=C145),1,0),0)+IF(RIGHT('班次明細'!O18,2)="料區",IF(AND('班次明細'!L18&gt;0,'班次明細'!G18&lt;=B145,'班次明細'!H18&gt;=C145),1,0),0)+IF(RIGHT('班次明細'!O25,2)="料區",IF(AND('班次明細'!L25&gt;0,'班次明細'!G25&lt;=B145,'班次明細'!H25&gt;=C145),1,0),0)+IF(RIGHT('班次明細'!O32,2)="料區",IF(AND('班次明細'!L32&gt;0,'班次明細'!G32&lt;=B145,'班次明細'!H32&gt;=C145),1,0),0)+IF(RIGHT('班次明細'!O39,2)="料區",IF(AND('班次明細'!L39&gt;0,'班次明細'!G39&lt;=B145,'班次明細'!H39&gt;=C145),1,0),0)+IF(RIGHT('班次明細'!O46,2)="料區",IF(AND('班次明細'!L46&gt;0,'班次明細'!G46&lt;=B145,'班次明細'!H46&gt;=C145),1,0),0)+IF(RIGHT('班次明細'!O53,2)="料區",IF(AND('班次明細'!L53&gt;0,'班次明細'!G53&lt;=B145,'班次明細'!H53&gt;=C145),1,0),0)+IF(RIGHT('班次明細'!O60,2)="料區",IF(AND('班次明細'!L60&gt;0,'班次明細'!G60&lt;=B145,'班次明細'!H60&gt;=C145),1,0),0)+IF(RIGHT('班次明細'!O67,2)="料區",IF(AND('班次明細'!L67&gt;0,'班次明細'!G67&lt;=B145,'班次明細'!H67&gt;=C145),1,0),0)+IF(RIGHT('班次明細'!O74,2)="料區",IF(AND('班次明細'!L74&gt;0,'班次明細'!G74&lt;=B145,'班次明細'!H74&gt;=C145),1,0),0)+IF(RIGHT('班次明細'!O81,2)="料區",IF(AND('班次明細'!L81&gt;0,'班次明細'!G81&lt;=B145,'班次明細'!H81&gt;=C145),1,0),0))&gt;0,0,1)+IF((IF(RIGHT('班次明細'!O11,2)="炸區",IF(AND('班次明細'!L11&gt;0,'班次明細'!G11&lt;=B145,'班次明細'!H11&gt;=C145),1,0),0)+IF(RIGHT('班次明細'!O18,2)="炸區",IF(AND('班次明細'!L18&gt;0,'班次明細'!G18&lt;=B145,'班次明細'!H18&gt;=C145),1,0),0)+IF(RIGHT('班次明細'!O25,2)="炸區",IF(AND('班次明細'!L25&gt;0,'班次明細'!G25&lt;=B145,'班次明細'!H25&gt;=C145),1,0),0)+IF(RIGHT('班次明細'!O32,2)="炸區",IF(AND('班次明細'!L32&gt;0,'班次明細'!G32&lt;=B145,'班次明細'!H32&gt;=C145),1,0),0)+IF(RIGHT('班次明細'!O39,2)="炸區",IF(AND('班次明細'!L39&gt;0,'班次明細'!G39&lt;=B145,'班次明細'!H39&gt;=C145),1,0),0)+IF(RIGHT('班次明細'!O46,2)="炸區",IF(AND('班次明細'!L46&gt;0,'班次明細'!G46&lt;=B145,'班次明細'!H46&gt;=C145),1,0),0)+IF(RIGHT('班次明細'!O53,2)="炸區",IF(AND('班次明細'!L53&gt;0,'班次明細'!G53&lt;=B145,'班次明細'!H53&gt;=C145),1,0),0)+IF(RIGHT('班次明細'!O60,2)="炸區",IF(AND('班次明細'!L60&gt;0,'班次明細'!G60&lt;=B145,'班次明細'!H60&gt;=C145),1,0),0)+IF(RIGHT('班次明細'!O67,2)="炸區",IF(AND('班次明細'!L67&gt;0,'班次明細'!G67&lt;=B145,'班次明細'!H67&gt;=C145),1,0),0)+IF(RIGHT('班次明細'!O74,2)="炸區",IF(AND('班次明細'!L74&gt;0,'班次明細'!G74&lt;=B145,'班次明細'!H74&gt;=C145),1,0),0)+IF(RIGHT('班次明細'!O81,2)="炸區",IF(AND('班次明細'!L81&gt;0,'班次明細'!G81&lt;=B145,'班次明細'!H81&gt;=C145),1,0),0))&gt;0,0,1)+IF((IF(RIGHT('班次明細'!O11,2)="拍區",IF(AND('班次明細'!L11&gt;0,'班次明細'!G11&lt;=B145,'班次明細'!H11&gt;=C145),1,0),0)+IF(RIGHT('班次明細'!O18,2)="拍區",IF(AND('班次明細'!L18&gt;0,'班次明細'!G18&lt;=B145,'班次明細'!H18&gt;=C145),1,0),0)+IF(RIGHT('班次明細'!O25,2)="拍區",IF(AND('班次明細'!L25&gt;0,'班次明細'!G25&lt;=B145,'班次明細'!H25&gt;=C145),1,0),0)+IF(RIGHT('班次明細'!O32,2)="拍區",IF(AND('班次明細'!L32&gt;0,'班次明細'!G32&lt;=B145,'班次明細'!H32&gt;=C145),1,0),0)+IF(RIGHT('班次明細'!O39,2)="拍區",IF(AND('班次明細'!L39&gt;0,'班次明細'!G39&lt;=B145,'班次明細'!H39&gt;=C145),1,0),0)+IF(RIGHT('班次明細'!O46,2)="拍區",IF(AND('班次明細'!L46&gt;0,'班次明細'!G46&lt;=B145,'班次明細'!H46&gt;=C145),1,0),0)+IF(RIGHT('班次明細'!O53,2)="拍區",IF(AND('班次明細'!L53&gt;0,'班次明細'!G53&lt;=B145,'班次明細'!H53&gt;=C145),1,0),0)+IF(RIGHT('班次明細'!O60,2)="拍區",IF(AND('班次明細'!L60&gt;0,'班次明細'!G60&lt;=B145,'班次明細'!H60&gt;=C145),1,0),0)+IF(RIGHT('班次明細'!O67,2)="拍區",IF(AND('班次明細'!L67&gt;0,'班次明細'!G67&lt;=B145,'班次明細'!H67&gt;=C145),1,0),0)+IF(RIGHT('班次明細'!O74,2)="拍區",IF(AND('班次明細'!L74&gt;0,'班次明細'!G74&lt;=B145,'班次明細'!H74&gt;=C145),1,0),0)+IF(RIGHT('班次明細'!O81,2)="拍區",IF(AND('班次明細'!L81&gt;0,'班次明細'!G81&lt;=B145,'班次明細'!H81&gt;=C145),1,0),0))&gt;0,0,1)+IF((IF(RIGHT('班次明細'!O11,2)="控場",IF(AND('班次明細'!L11&gt;0,'班次明細'!G11&lt;=B145,'班次明細'!H11&gt;=C145),1,0),0)+IF(RIGHT('班次明細'!O18,2)="控場",IF(AND('班次明細'!L18&gt;0,'班次明細'!G18&lt;=B145,'班次明細'!H18&gt;=C145),1,0),0)+IF(RIGHT('班次明細'!O25,2)="控場",IF(AND('班次明細'!L25&gt;0,'班次明細'!G25&lt;=B145,'班次明細'!H25&gt;=C145),1,0),0)+IF(RIGHT('班次明細'!O32,2)="控場",IF(AND('班次明細'!L32&gt;0,'班次明細'!G32&lt;=B145,'班次明細'!H32&gt;=C145),1,0),0)+IF(RIGHT('班次明細'!O39,2)="控場",IF(AND('班次明細'!L39&gt;0,'班次明細'!G39&lt;=B145,'班次明細'!H39&gt;=C145),1,0),0)+IF(RIGHT('班次明細'!O46,2)="控場",IF(AND('班次明細'!L46&gt;0,'班次明細'!G46&lt;=B145,'班次明細'!H46&gt;=C145),1,0),0)+IF(RIGHT('班次明細'!O53,2)="控場",IF(AND('班次明細'!L53&gt;0,'班次明細'!G53&lt;=B145,'班次明細'!H53&gt;=C145),1,0),0)+IF(RIGHT('班次明細'!O60,2)="控場",IF(AND('班次明細'!L60&gt;0,'班次明細'!G60&lt;=B145,'班次明細'!H60&gt;=C145),1,0),0)+IF(RIGHT('班次明細'!O67,2)="控場",IF(AND('班次明細'!L67&gt;0,'班次明細'!G67&lt;=B145,'班次明細'!H67&gt;=C145),1,0),0)+IF(RIGHT('班次明細'!O74,2)="控場",IF(AND('班次明細'!L74&gt;0,'班次明細'!G74&lt;=B145,'班次明細'!H74&gt;=C145),1,0),0)+IF(RIGHT('班次明細'!O81,2)="控場",IF(AND('班次明細'!L81&gt;0,'班次明細'!G81&lt;=B145,'班次明細'!H81&gt;=C145),1,0),0))&gt;0,0,1)</x:f>
        <x:v>0</x:v>
      </x:c>
      <x:c r="K145" s="11" t="str">
        <x:v>P01:外場；P03:吧台；P04:控場；P05:炸區；P06:拍區；P07:料區；P09:司爐</x:v>
      </x:c>
      <x:c r="L145" s="11" t="str">
        <x:f>IF(OR(H145&gt;0,I145&gt;0,J145&gt;0),"缺口／超額待處理","主崗齊；休息待現場")</x:f>
        <x:v>主崗齊；休息待現場</x:v>
      </x:c>
    </x:row>
    <x:row r="146" ht="42" customHeight="1">
      <x:c r="A146" s="12" t="n">
        <x:v>46319</x:v>
      </x:c>
      <x:c r="B146" s="13" t="n">
        <x:v>0.8333333333333334</x:v>
      </x:c>
      <x:c r="C146" s="13" t="n">
        <x:v>0.8541666666666666</x:v>
      </x:c>
      <x:c r="D146" s="2" t="str">
        <x:v>營運參考</x:v>
      </x:c>
      <x:c r="E146" s="2" t="n">
        <x:v>0</x:v>
      </x:c>
      <x:c r="F146" s="2"/>
      <x:c r="G146" s="2" t="n">
        <x:f>IF(AND('班次明細'!L11&gt;0,'班次明細'!G11&lt;=B146,'班次明細'!H11&gt;=C146),1,0)+IF(AND('班次明細'!L18&gt;0,'班次明細'!G18&lt;=B146,'班次明細'!H18&gt;=C146),1,0)+IF(AND('班次明細'!L25&gt;0,'班次明細'!G25&lt;=B146,'班次明細'!H25&gt;=C146),1,0)+IF(AND('班次明細'!L32&gt;0,'班次明細'!G32&lt;=B146,'班次明細'!H32&gt;=C146),1,0)+IF(AND('班次明細'!L39&gt;0,'班次明細'!G39&lt;=B146,'班次明細'!H39&gt;=C146),1,0)+IF(AND('班次明細'!L46&gt;0,'班次明細'!G46&lt;=B146,'班次明細'!H46&gt;=C146),1,0)+IF(AND('班次明細'!L53&gt;0,'班次明細'!G53&lt;=B146,'班次明細'!H53&gt;=C146),1,0)+IF(AND('班次明細'!L60&gt;0,'班次明細'!G60&lt;=B146,'班次明細'!H60&gt;=C146),1,0)+IF(AND('班次明細'!L67&gt;0,'班次明細'!G67&lt;=B146,'班次明細'!H67&gt;=C146),1,0)+IF(AND('班次明細'!L74&gt;0,'班次明細'!G74&lt;=B146,'班次明細'!H74&gt;=C146),1,0)+IF(AND('班次明細'!L81&gt;0,'班次明細'!G81&lt;=B146,'班次明細'!H81&gt;=C146),1,0)</x:f>
        <x:v>7</x:v>
      </x:c>
      <x:c r="H146" s="2" t="n">
        <x:f>MAX(0,E146-G146)</x:f>
        <x:v>0</x:v>
      </x:c>
      <x:c r="I146" s="2" t="n">
        <x:f>IF(F146="",0,MAX(0,G146-F146))</x:f>
        <x:v>0</x:v>
      </x:c>
      <x:c r="J146" s="2" t="n">
        <x:v>0</x:v>
      </x:c>
      <x:c r="K146" s="11" t="str">
        <x:v>—</x:v>
      </x:c>
      <x:c r="L146" s="11" t="str">
        <x:f>"營運參考"</x:f>
        <x:v>營運參考</x:v>
      </x:c>
    </x:row>
    <x:row r="147" ht="42" customHeight="1">
      <x:c r="A147" s="12" t="n">
        <x:v>46319</x:v>
      </x:c>
      <x:c r="B147" s="13" t="n">
        <x:v>0.8541666666666666</x:v>
      </x:c>
      <x:c r="C147" s="13" t="n">
        <x:v>0.875</x:v>
      </x:c>
      <x:c r="D147" s="2" t="str">
        <x:v>營運參考</x:v>
      </x:c>
      <x:c r="E147" s="2" t="n">
        <x:v>0</x:v>
      </x:c>
      <x:c r="F147" s="2"/>
      <x:c r="G147" s="2" t="n">
        <x:f>IF(AND('班次明細'!L11&gt;0,'班次明細'!G11&lt;=B147,'班次明細'!H11&gt;=C147),1,0)+IF(AND('班次明細'!L18&gt;0,'班次明細'!G18&lt;=B147,'班次明細'!H18&gt;=C147),1,0)+IF(AND('班次明細'!L25&gt;0,'班次明細'!G25&lt;=B147,'班次明細'!H25&gt;=C147),1,0)+IF(AND('班次明細'!L32&gt;0,'班次明細'!G32&lt;=B147,'班次明細'!H32&gt;=C147),1,0)+IF(AND('班次明細'!L39&gt;0,'班次明細'!G39&lt;=B147,'班次明細'!H39&gt;=C147),1,0)+IF(AND('班次明細'!L46&gt;0,'班次明細'!G46&lt;=B147,'班次明細'!H46&gt;=C147),1,0)+IF(AND('班次明細'!L53&gt;0,'班次明細'!G53&lt;=B147,'班次明細'!H53&gt;=C147),1,0)+IF(AND('班次明細'!L60&gt;0,'班次明細'!G60&lt;=B147,'班次明細'!H60&gt;=C147),1,0)+IF(AND('班次明細'!L67&gt;0,'班次明細'!G67&lt;=B147,'班次明細'!H67&gt;=C147),1,0)+IF(AND('班次明細'!L74&gt;0,'班次明細'!G74&lt;=B147,'班次明細'!H74&gt;=C147),1,0)+IF(AND('班次明細'!L81&gt;0,'班次明細'!G81&lt;=B147,'班次明細'!H81&gt;=C147),1,0)</x:f>
        <x:v>7</x:v>
      </x:c>
      <x:c r="H147" s="2" t="n">
        <x:f>MAX(0,E147-G147)</x:f>
        <x:v>0</x:v>
      </x:c>
      <x:c r="I147" s="2" t="n">
        <x:f>IF(F147="",0,MAX(0,G147-F147))</x:f>
        <x:v>0</x:v>
      </x:c>
      <x:c r="J147" s="2" t="n">
        <x:v>0</x:v>
      </x:c>
      <x:c r="K147" s="11" t="str">
        <x:v>—</x:v>
      </x:c>
      <x:c r="L147" s="11" t="str">
        <x:f>"營運參考"</x:f>
        <x:v>營運參考</x:v>
      </x:c>
    </x:row>
    <x:row r="148" ht="42" customHeight="1">
      <x:c r="A148" s="12" t="n">
        <x:v>46319</x:v>
      </x:c>
      <x:c r="B148" s="13" t="n">
        <x:v>0.875</x:v>
      </x:c>
      <x:c r="C148" s="13" t="n">
        <x:v>0.8958333333333334</x:v>
      </x:c>
      <x:c r="D148" s="2" t="str">
        <x:v>營運參考</x:v>
      </x:c>
      <x:c r="E148" s="2" t="n">
        <x:v>0</x:v>
      </x:c>
      <x:c r="F148" s="2"/>
      <x:c r="G148" s="2" t="n">
        <x:f>IF(AND('班次明細'!L11&gt;0,'班次明細'!G11&lt;=B148,'班次明細'!H11&gt;=C148),1,0)+IF(AND('班次明細'!L18&gt;0,'班次明細'!G18&lt;=B148,'班次明細'!H18&gt;=C148),1,0)+IF(AND('班次明細'!L25&gt;0,'班次明細'!G25&lt;=B148,'班次明細'!H25&gt;=C148),1,0)+IF(AND('班次明細'!L32&gt;0,'班次明細'!G32&lt;=B148,'班次明細'!H32&gt;=C148),1,0)+IF(AND('班次明細'!L39&gt;0,'班次明細'!G39&lt;=B148,'班次明細'!H39&gt;=C148),1,0)+IF(AND('班次明細'!L46&gt;0,'班次明細'!G46&lt;=B148,'班次明細'!H46&gt;=C148),1,0)+IF(AND('班次明細'!L53&gt;0,'班次明細'!G53&lt;=B148,'班次明細'!H53&gt;=C148),1,0)+IF(AND('班次明細'!L60&gt;0,'班次明細'!G60&lt;=B148,'班次明細'!H60&gt;=C148),1,0)+IF(AND('班次明細'!L67&gt;0,'班次明細'!G67&lt;=B148,'班次明細'!H67&gt;=C148),1,0)+IF(AND('班次明細'!L74&gt;0,'班次明細'!G74&lt;=B148,'班次明細'!H74&gt;=C148),1,0)+IF(AND('班次明細'!L81&gt;0,'班次明細'!G81&lt;=B148,'班次明細'!H81&gt;=C148),1,0)</x:f>
        <x:v>5</x:v>
      </x:c>
      <x:c r="H148" s="2" t="n">
        <x:f>MAX(0,E148-G148)</x:f>
        <x:v>0</x:v>
      </x:c>
      <x:c r="I148" s="2" t="n">
        <x:f>IF(F148="",0,MAX(0,G148-F148))</x:f>
        <x:v>0</x:v>
      </x:c>
      <x:c r="J148" s="2" t="n">
        <x:v>0</x:v>
      </x:c>
      <x:c r="K148" s="11" t="str">
        <x:v>—</x:v>
      </x:c>
      <x:c r="L148" s="11" t="str">
        <x:f>"營運參考"</x:f>
        <x:v>營運參考</x:v>
      </x:c>
    </x:row>
    <x:row r="149" ht="42" customHeight="1">
      <x:c r="A149" s="12" t="n">
        <x:v>46319</x:v>
      </x:c>
      <x:c r="B149" s="13" t="n">
        <x:v>0.8958333333333334</x:v>
      </x:c>
      <x:c r="C149" s="13" t="n">
        <x:v>0.9166666666666666</x:v>
      </x:c>
      <x:c r="D149" s="2" t="str">
        <x:v>營運參考</x:v>
      </x:c>
      <x:c r="E149" s="2" t="n">
        <x:v>0</x:v>
      </x:c>
      <x:c r="F149" s="2"/>
      <x:c r="G149" s="2" t="n">
        <x:f>IF(AND('班次明細'!L11&gt;0,'班次明細'!G11&lt;=B149,'班次明細'!H11&gt;=C149),1,0)+IF(AND('班次明細'!L18&gt;0,'班次明細'!G18&lt;=B149,'班次明細'!H18&gt;=C149),1,0)+IF(AND('班次明細'!L25&gt;0,'班次明細'!G25&lt;=B149,'班次明細'!H25&gt;=C149),1,0)+IF(AND('班次明細'!L32&gt;0,'班次明細'!G32&lt;=B149,'班次明細'!H32&gt;=C149),1,0)+IF(AND('班次明細'!L39&gt;0,'班次明細'!G39&lt;=B149,'班次明細'!H39&gt;=C149),1,0)+IF(AND('班次明細'!L46&gt;0,'班次明細'!G46&lt;=B149,'班次明細'!H46&gt;=C149),1,0)+IF(AND('班次明細'!L53&gt;0,'班次明細'!G53&lt;=B149,'班次明細'!H53&gt;=C149),1,0)+IF(AND('班次明細'!L60&gt;0,'班次明細'!G60&lt;=B149,'班次明細'!H60&gt;=C149),1,0)+IF(AND('班次明細'!L67&gt;0,'班次明細'!G67&lt;=B149,'班次明細'!H67&gt;=C149),1,0)+IF(AND('班次明細'!L74&gt;0,'班次明細'!G74&lt;=B149,'班次明細'!H74&gt;=C149),1,0)+IF(AND('班次明細'!L81&gt;0,'班次明細'!G81&lt;=B149,'班次明細'!H81&gt;=C149),1,0)</x:f>
        <x:v>1</x:v>
      </x:c>
      <x:c r="H149" s="2" t="n">
        <x:f>MAX(0,E149-G149)</x:f>
        <x:v>0</x:v>
      </x:c>
      <x:c r="I149" s="2" t="n">
        <x:f>IF(F149="",0,MAX(0,G149-F149))</x:f>
        <x:v>0</x:v>
      </x:c>
      <x:c r="J149" s="2" t="n">
        <x:v>0</x:v>
      </x:c>
      <x:c r="K149" s="11" t="str">
        <x:v>—</x:v>
      </x:c>
      <x:c r="L149" s="11" t="str">
        <x:f>"營運參考"</x:f>
        <x:v>營運參考</x:v>
      </x:c>
    </x:row>
    <x:row r="150" ht="42" customHeight="1">
      <x:c r="A150" s="12" t="n">
        <x:v>46320</x:v>
      </x:c>
      <x:c r="B150" s="13" t="n">
        <x:v>0.4166666666666667</x:v>
      </x:c>
      <x:c r="C150" s="13" t="n">
        <x:v>0.4375</x:v>
      </x:c>
      <x:c r="D150" s="2" t="str">
        <x:v>營運參考</x:v>
      </x:c>
      <x:c r="E150" s="2" t="n">
        <x:v>1</x:v>
      </x:c>
      <x:c r="F150" s="2"/>
      <x:c r="G150" s="2" t="n">
        <x:f>IF(AND('班次明細'!L12&gt;0,'班次明細'!G12&lt;=B150,'班次明細'!H12&gt;=C150),1,0)+IF(AND('班次明細'!L19&gt;0,'班次明細'!G19&lt;=B150,'班次明細'!H19&gt;=C150),1,0)+IF(AND('班次明細'!L26&gt;0,'班次明細'!G26&lt;=B150,'班次明細'!H26&gt;=C150),1,0)+IF(AND('班次明細'!L33&gt;0,'班次明細'!G33&lt;=B150,'班次明細'!H33&gt;=C150),1,0)+IF(AND('班次明細'!L40&gt;0,'班次明細'!G40&lt;=B150,'班次明細'!H40&gt;=C150),1,0)+IF(AND('班次明細'!L47&gt;0,'班次明細'!G47&lt;=B150,'班次明細'!H47&gt;=C150),1,0)+IF(AND('班次明細'!L54&gt;0,'班次明細'!G54&lt;=B150,'班次明細'!H54&gt;=C150),1,0)+IF(AND('班次明細'!L61&gt;0,'班次明細'!G61&lt;=B150,'班次明細'!H61&gt;=C150),1,0)+IF(AND('班次明細'!L68&gt;0,'班次明細'!G68&lt;=B150,'班次明細'!H68&gt;=C150),1,0)+IF(AND('班次明細'!L75&gt;0,'班次明細'!G75&lt;=B150,'班次明細'!H75&gt;=C150),1,0)+IF(AND('班次明細'!L82&gt;0,'班次明細'!G82&lt;=B150,'班次明細'!H82&gt;=C150),1,0)</x:f>
        <x:v>1</x:v>
      </x:c>
      <x:c r="H150" s="2" t="n">
        <x:f>MAX(0,E150-G150)</x:f>
        <x:v>0</x:v>
      </x:c>
      <x:c r="I150" s="2" t="n">
        <x:f>IF(F150="",0,MAX(0,G150-F150))</x:f>
        <x:v>0</x:v>
      </x:c>
      <x:c r="J150" s="2" t="n">
        <x:v>0</x:v>
      </x:c>
      <x:c r="K150" s="11" t="str">
        <x:v>—</x:v>
      </x:c>
      <x:c r="L150" s="11" t="str">
        <x:f>"營運參考"</x:f>
        <x:v>營運參考</x:v>
      </x:c>
    </x:row>
    <x:row r="151" ht="42" customHeight="1">
      <x:c r="A151" s="12" t="n">
        <x:v>46320</x:v>
      </x:c>
      <x:c r="B151" s="13" t="n">
        <x:v>0.4375</x:v>
      </x:c>
      <x:c r="C151" s="13" t="n">
        <x:v>0.4583333333333333</x:v>
      </x:c>
      <x:c r="D151" s="2" t="str">
        <x:v>營運參考</x:v>
      </x:c>
      <x:c r="E151" s="2" t="n">
        <x:v>1</x:v>
      </x:c>
      <x:c r="F151" s="2"/>
      <x:c r="G151" s="2" t="n">
        <x:f>IF(AND('班次明細'!L12&gt;0,'班次明細'!G12&lt;=B151,'班次明細'!H12&gt;=C151),1,0)+IF(AND('班次明細'!L19&gt;0,'班次明細'!G19&lt;=B151,'班次明細'!H19&gt;=C151),1,0)+IF(AND('班次明細'!L26&gt;0,'班次明細'!G26&lt;=B151,'班次明細'!H26&gt;=C151),1,0)+IF(AND('班次明細'!L33&gt;0,'班次明細'!G33&lt;=B151,'班次明細'!H33&gt;=C151),1,0)+IF(AND('班次明細'!L40&gt;0,'班次明細'!G40&lt;=B151,'班次明細'!H40&gt;=C151),1,0)+IF(AND('班次明細'!L47&gt;0,'班次明細'!G47&lt;=B151,'班次明細'!H47&gt;=C151),1,0)+IF(AND('班次明細'!L54&gt;0,'班次明細'!G54&lt;=B151,'班次明細'!H54&gt;=C151),1,0)+IF(AND('班次明細'!L61&gt;0,'班次明細'!G61&lt;=B151,'班次明細'!H61&gt;=C151),1,0)+IF(AND('班次明細'!L68&gt;0,'班次明細'!G68&lt;=B151,'班次明細'!H68&gt;=C151),1,0)+IF(AND('班次明細'!L75&gt;0,'班次明細'!G75&lt;=B151,'班次明細'!H75&gt;=C151),1,0)+IF(AND('班次明細'!L82&gt;0,'班次明細'!G82&lt;=B151,'班次明細'!H82&gt;=C151),1,0)</x:f>
        <x:v>1</x:v>
      </x:c>
      <x:c r="H151" s="2" t="n">
        <x:f>MAX(0,E151-G151)</x:f>
        <x:v>0</x:v>
      </x:c>
      <x:c r="I151" s="2" t="n">
        <x:f>IF(F151="",0,MAX(0,G151-F151))</x:f>
        <x:v>0</x:v>
      </x:c>
      <x:c r="J151" s="2" t="n">
        <x:v>0</x:v>
      </x:c>
      <x:c r="K151" s="11" t="str">
        <x:v>—</x:v>
      </x:c>
      <x:c r="L151" s="11" t="str">
        <x:f>"營運參考"</x:f>
        <x:v>營運參考</x:v>
      </x:c>
    </x:row>
    <x:row r="152" ht="42" customHeight="1">
      <x:c r="A152" s="12" t="n">
        <x:v>46320</x:v>
      </x:c>
      <x:c r="B152" s="13" t="n">
        <x:v>0.4583333333333333</x:v>
      </x:c>
      <x:c r="C152" s="13" t="n">
        <x:v>0.4791666666666667</x:v>
      </x:c>
      <x:c r="D152" s="2" t="str">
        <x:v>營運參考</x:v>
      </x:c>
      <x:c r="E152" s="2" t="n">
        <x:v>0</x:v>
      </x:c>
      <x:c r="F152" s="2"/>
      <x:c r="G152" s="2" t="n">
        <x:f>IF(AND('班次明細'!L12&gt;0,'班次明細'!G12&lt;=B152,'班次明細'!H12&gt;=C152),1,0)+IF(AND('班次明細'!L19&gt;0,'班次明細'!G19&lt;=B152,'班次明細'!H19&gt;=C152),1,0)+IF(AND('班次明細'!L26&gt;0,'班次明細'!G26&lt;=B152,'班次明細'!H26&gt;=C152),1,0)+IF(AND('班次明細'!L33&gt;0,'班次明細'!G33&lt;=B152,'班次明細'!H33&gt;=C152),1,0)+IF(AND('班次明細'!L40&gt;0,'班次明細'!G40&lt;=B152,'班次明細'!H40&gt;=C152),1,0)+IF(AND('班次明細'!L47&gt;0,'班次明細'!G47&lt;=B152,'班次明細'!H47&gt;=C152),1,0)+IF(AND('班次明細'!L54&gt;0,'班次明細'!G54&lt;=B152,'班次明細'!H54&gt;=C152),1,0)+IF(AND('班次明細'!L61&gt;0,'班次明細'!G61&lt;=B152,'班次明細'!H61&gt;=C152),1,0)+IF(AND('班次明細'!L68&gt;0,'班次明細'!G68&lt;=B152,'班次明細'!H68&gt;=C152),1,0)+IF(AND('班次明細'!L75&gt;0,'班次明細'!G75&lt;=B152,'班次明細'!H75&gt;=C152),1,0)+IF(AND('班次明細'!L82&gt;0,'班次明細'!G82&lt;=B152,'班次明細'!H82&gt;=C152),1,0)</x:f>
        <x:v>3</x:v>
      </x:c>
      <x:c r="H152" s="2" t="n">
        <x:f>MAX(0,E152-G152)</x:f>
        <x:v>0</x:v>
      </x:c>
      <x:c r="I152" s="2" t="n">
        <x:f>IF(F152="",0,MAX(0,G152-F152))</x:f>
        <x:v>0</x:v>
      </x:c>
      <x:c r="J152" s="2" t="n">
        <x:v>0</x:v>
      </x:c>
      <x:c r="K152" s="11" t="str">
        <x:v>—</x:v>
      </x:c>
      <x:c r="L152" s="11" t="str">
        <x:f>"營運參考"</x:f>
        <x:v>營運參考</x:v>
      </x:c>
    </x:row>
    <x:row r="153" ht="42" customHeight="1">
      <x:c r="A153" s="12" t="n">
        <x:v>46320</x:v>
      </x:c>
      <x:c r="B153" s="13" t="n">
        <x:v>0.4791666666666667</x:v>
      </x:c>
      <x:c r="C153" s="13" t="n">
        <x:v>0.5</x:v>
      </x:c>
      <x:c r="D153" s="2" t="str">
        <x:v>午餐主崗</x:v>
      </x:c>
      <x:c r="E153" s="2" t="n">
        <x:v>6</x:v>
      </x:c>
      <x:c r="F153" s="2" t="n">
        <x:v>7</x:v>
      </x:c>
      <x:c r="G153" s="2" t="n">
        <x:f>IF(AND('班次明細'!L12&gt;0,'班次明細'!G12&lt;=B153,'班次明細'!H12&gt;=C153),1,0)+IF(AND('班次明細'!L19&gt;0,'班次明細'!G19&lt;=B153,'班次明細'!H19&gt;=C153),1,0)+IF(AND('班次明細'!L26&gt;0,'班次明細'!G26&lt;=B153,'班次明細'!H26&gt;=C153),1,0)+IF(AND('班次明細'!L33&gt;0,'班次明細'!G33&lt;=B153,'班次明細'!H33&gt;=C153),1,0)+IF(AND('班次明細'!L40&gt;0,'班次明細'!G40&lt;=B153,'班次明細'!H40&gt;=C153),1,0)+IF(AND('班次明細'!L47&gt;0,'班次明細'!G47&lt;=B153,'班次明細'!H47&gt;=C153),1,0)+IF(AND('班次明細'!L54&gt;0,'班次明細'!G54&lt;=B153,'班次明細'!H54&gt;=C153),1,0)+IF(AND('班次明細'!L61&gt;0,'班次明細'!G61&lt;=B153,'班次明細'!H61&gt;=C153),1,0)+IF(AND('班次明細'!L68&gt;0,'班次明細'!G68&lt;=B153,'班次明細'!H68&gt;=C153),1,0)+IF(AND('班次明細'!L75&gt;0,'班次明細'!G75&lt;=B153,'班次明細'!H75&gt;=C153),1,0)+IF(AND('班次明細'!L82&gt;0,'班次明細'!G82&lt;=B153,'班次明細'!H82&gt;=C153),1,0)</x:f>
        <x:v>5</x:v>
      </x:c>
      <x:c r="H153" s="2" t="n">
        <x:f>MAX(0,E153-G153)</x:f>
        <x:v>1</x:v>
      </x:c>
      <x:c r="I153" s="2" t="n">
        <x:f>IF(F153="",0,MAX(0,G153-F153))</x:f>
        <x:v>0</x:v>
      </x:c>
      <x:c r="J153" s="2" t="n">
        <x:f>IF((IF(LEFT('班次明細'!O12,2)="外場",IF(AND('班次明細'!L12&gt;0,'班次明細'!G12&lt;=B153,'班次明細'!H12&gt;=C153),1,0),0)+IF(LEFT('班次明細'!O19,2)="外場",IF(AND('班次明細'!L19&gt;0,'班次明細'!G19&lt;=B153,'班次明細'!H19&gt;=C153),1,0),0)+IF(LEFT('班次明細'!O26,2)="外場",IF(AND('班次明細'!L26&gt;0,'班次明細'!G26&lt;=B153,'班次明細'!H26&gt;=C153),1,0),0)+IF(LEFT('班次明細'!O33,2)="外場",IF(AND('班次明細'!L33&gt;0,'班次明細'!G33&lt;=B153,'班次明細'!H33&gt;=C153),1,0),0)+IF(LEFT('班次明細'!O40,2)="外場",IF(AND('班次明細'!L40&gt;0,'班次明細'!G40&lt;=B153,'班次明細'!H40&gt;=C153),1,0),0)+IF(LEFT('班次明細'!O47,2)="外場",IF(AND('班次明細'!L47&gt;0,'班次明細'!G47&lt;=B153,'班次明細'!H47&gt;=C153),1,0),0)+IF(LEFT('班次明細'!O54,2)="外場",IF(AND('班次明細'!L54&gt;0,'班次明細'!G54&lt;=B153,'班次明細'!H54&gt;=C153),1,0),0)+IF(LEFT('班次明細'!O61,2)="外場",IF(AND('班次明細'!L61&gt;0,'班次明細'!G61&lt;=B153,'班次明細'!H61&gt;=C153),1,0),0)+IF(LEFT('班次明細'!O68,2)="外場",IF(AND('班次明細'!L68&gt;0,'班次明細'!G68&lt;=B153,'班次明細'!H68&gt;=C153),1,0),0)+IF(LEFT('班次明細'!O75,2)="外場",IF(AND('班次明細'!L75&gt;0,'班次明細'!G75&lt;=B153,'班次明細'!H75&gt;=C153),1,0),0)+IF(LEFT('班次明細'!O82,2)="外場",IF(AND('班次明細'!L82&gt;0,'班次明細'!G82&lt;=B153,'班次明細'!H82&gt;=C153),1,0),0))&gt;0,0,1)+IF((IF(LEFT('班次明細'!O12,2)="吧台",IF(AND('班次明細'!L12&gt;0,'班次明細'!G12&lt;=B153,'班次明細'!H12&gt;=C153),1,0),0)+IF(LEFT('班次明細'!O19,2)="吧台",IF(AND('班次明細'!L19&gt;0,'班次明細'!G19&lt;=B153,'班次明細'!H19&gt;=C153),1,0),0)+IF(LEFT('班次明細'!O26,2)="吧台",IF(AND('班次明細'!L26&gt;0,'班次明細'!G26&lt;=B153,'班次明細'!H26&gt;=C153),1,0),0)+IF(LEFT('班次明細'!O33,2)="吧台",IF(AND('班次明細'!L33&gt;0,'班次明細'!G33&lt;=B153,'班次明細'!H33&gt;=C153),1,0),0)+IF(LEFT('班次明細'!O40,2)="吧台",IF(AND('班次明細'!L40&gt;0,'班次明細'!G40&lt;=B153,'班次明細'!H40&gt;=C153),1,0),0)+IF(LEFT('班次明細'!O47,2)="吧台",IF(AND('班次明細'!L47&gt;0,'班次明細'!G47&lt;=B153,'班次明細'!H47&gt;=C153),1,0),0)+IF(LEFT('班次明細'!O54,2)="吧台",IF(AND('班次明細'!L54&gt;0,'班次明細'!G54&lt;=B153,'班次明細'!H54&gt;=C153),1,0),0)+IF(LEFT('班次明細'!O61,2)="吧台",IF(AND('班次明細'!L61&gt;0,'班次明細'!G61&lt;=B153,'班次明細'!H61&gt;=C153),1,0),0)+IF(LEFT('班次明細'!O68,2)="吧台",IF(AND('班次明細'!L68&gt;0,'班次明細'!G68&lt;=B153,'班次明細'!H68&gt;=C153),1,0),0)+IF(LEFT('班次明細'!O75,2)="吧台",IF(AND('班次明細'!L75&gt;0,'班次明細'!G75&lt;=B153,'班次明細'!H75&gt;=C153),1,0),0)+IF(LEFT('班次明細'!O82,2)="吧台",IF(AND('班次明細'!L82&gt;0,'班次明細'!G82&lt;=B153,'班次明細'!H82&gt;=C153),1,0),0))&gt;0,0,1)+IF((IF(LEFT('班次明細'!O12,2)="司爐",IF(AND('班次明細'!L12&gt;0,'班次明細'!G12&lt;=B153,'班次明細'!H12&gt;=C153),1,0),0)+IF(LEFT('班次明細'!O19,2)="司爐",IF(AND('班次明細'!L19&gt;0,'班次明細'!G19&lt;=B153,'班次明細'!H19&gt;=C153),1,0),0)+IF(LEFT('班次明細'!O26,2)="司爐",IF(AND('班次明細'!L26&gt;0,'班次明細'!G26&lt;=B153,'班次明細'!H26&gt;=C153),1,0),0)+IF(LEFT('班次明細'!O33,2)="司爐",IF(AND('班次明細'!L33&gt;0,'班次明細'!G33&lt;=B153,'班次明細'!H33&gt;=C153),1,0),0)+IF(LEFT('班次明細'!O40,2)="司爐",IF(AND('班次明細'!L40&gt;0,'班次明細'!G40&lt;=B153,'班次明細'!H40&gt;=C153),1,0),0)+IF(LEFT('班次明細'!O47,2)="司爐",IF(AND('班次明細'!L47&gt;0,'班次明細'!G47&lt;=B153,'班次明細'!H47&gt;=C153),1,0),0)+IF(LEFT('班次明細'!O54,2)="司爐",IF(AND('班次明細'!L54&gt;0,'班次明細'!G54&lt;=B153,'班次明細'!H54&gt;=C153),1,0),0)+IF(LEFT('班次明細'!O61,2)="司爐",IF(AND('班次明細'!L61&gt;0,'班次明細'!G61&lt;=B153,'班次明細'!H61&gt;=C153),1,0),0)+IF(LEFT('班次明細'!O68,2)="司爐",IF(AND('班次明細'!L68&gt;0,'班次明細'!G68&lt;=B153,'班次明細'!H68&gt;=C153),1,0),0)+IF(LEFT('班次明細'!O75,2)="司爐",IF(AND('班次明細'!L75&gt;0,'班次明細'!G75&lt;=B153,'班次明細'!H75&gt;=C153),1,0),0)+IF(LEFT('班次明細'!O82,2)="司爐",IF(AND('班次明細'!L82&gt;0,'班次明細'!G82&lt;=B153,'班次明細'!H82&gt;=C153),1,0),0))&gt;0,0,1)+IF((IF(LEFT('班次明細'!O12,2)="料區",IF(AND('班次明細'!L12&gt;0,'班次明細'!G12&lt;=B153,'班次明細'!H12&gt;=C153),1,0),0)+IF(LEFT('班次明細'!O19,2)="料區",IF(AND('班次明細'!L19&gt;0,'班次明細'!G19&lt;=B153,'班次明細'!H19&gt;=C153),1,0),0)+IF(LEFT('班次明細'!O26,2)="料區",IF(AND('班次明細'!L26&gt;0,'班次明細'!G26&lt;=B153,'班次明細'!H26&gt;=C153),1,0),0)+IF(LEFT('班次明細'!O33,2)="料區",IF(AND('班次明細'!L33&gt;0,'班次明細'!G33&lt;=B153,'班次明細'!H33&gt;=C153),1,0),0)+IF(LEFT('班次明細'!O40,2)="料區",IF(AND('班次明細'!L40&gt;0,'班次明細'!G40&lt;=B153,'班次明細'!H40&gt;=C153),1,0),0)+IF(LEFT('班次明細'!O47,2)="料區",IF(AND('班次明細'!L47&gt;0,'班次明細'!G47&lt;=B153,'班次明細'!H47&gt;=C153),1,0),0)+IF(LEFT('班次明細'!O54,2)="料區",IF(AND('班次明細'!L54&gt;0,'班次明細'!G54&lt;=B153,'班次明細'!H54&gt;=C153),1,0),0)+IF(LEFT('班次明細'!O61,2)="料區",IF(AND('班次明細'!L61&gt;0,'班次明細'!G61&lt;=B153,'班次明細'!H61&gt;=C153),1,0),0)+IF(LEFT('班次明細'!O68,2)="料區",IF(AND('班次明細'!L68&gt;0,'班次明細'!G68&lt;=B153,'班次明細'!H68&gt;=C153),1,0),0)+IF(LEFT('班次明細'!O75,2)="料區",IF(AND('班次明細'!L75&gt;0,'班次明細'!G75&lt;=B153,'班次明細'!H75&gt;=C153),1,0),0)+IF(LEFT('班次明細'!O82,2)="料區",IF(AND('班次明細'!L82&gt;0,'班次明細'!G82&lt;=B153,'班次明細'!H82&gt;=C153),1,0),0))&gt;0,0,1)+IF((IF(LEFT('班次明細'!O12,2)="炸區",IF(AND('班次明細'!L12&gt;0,'班次明細'!G12&lt;=B153,'班次明細'!H12&gt;=C153),1,0),0)+IF(LEFT('班次明細'!O19,2)="炸區",IF(AND('班次明細'!L19&gt;0,'班次明細'!G19&lt;=B153,'班次明細'!H19&gt;=C153),1,0),0)+IF(LEFT('班次明細'!O26,2)="炸區",IF(AND('班次明細'!L26&gt;0,'班次明細'!G26&lt;=B153,'班次明細'!H26&gt;=C153),1,0),0)+IF(LEFT('班次明細'!O33,2)="炸區",IF(AND('班次明細'!L33&gt;0,'班次明細'!G33&lt;=B153,'班次明細'!H33&gt;=C153),1,0),0)+IF(LEFT('班次明細'!O40,2)="炸區",IF(AND('班次明細'!L40&gt;0,'班次明細'!G40&lt;=B153,'班次明細'!H40&gt;=C153),1,0),0)+IF(LEFT('班次明細'!O47,2)="炸區",IF(AND('班次明細'!L47&gt;0,'班次明細'!G47&lt;=B153,'班次明細'!H47&gt;=C153),1,0),0)+IF(LEFT('班次明細'!O54,2)="炸區",IF(AND('班次明細'!L54&gt;0,'班次明細'!G54&lt;=B153,'班次明細'!H54&gt;=C153),1,0),0)+IF(LEFT('班次明細'!O61,2)="炸區",IF(AND('班次明細'!L61&gt;0,'班次明細'!G61&lt;=B153,'班次明細'!H61&gt;=C153),1,0),0)+IF(LEFT('班次明細'!O68,2)="炸區",IF(AND('班次明細'!L68&gt;0,'班次明細'!G68&lt;=B153,'班次明細'!H68&gt;=C153),1,0),0)+IF(LEFT('班次明細'!O75,2)="炸區",IF(AND('班次明細'!L75&gt;0,'班次明細'!G75&lt;=B153,'班次明細'!H75&gt;=C153),1,0),0)+IF(LEFT('班次明細'!O82,2)="炸區",IF(AND('班次明細'!L82&gt;0,'班次明細'!G82&lt;=B153,'班次明細'!H82&gt;=C153),1,0),0))&gt;0,0,1)+IF((IF(LEFT('班次明細'!O12,2)="拍區",IF(AND('班次明細'!L12&gt;0,'班次明細'!G12&lt;=B153,'班次明細'!H12&gt;=C153),1,0),0)+IF(LEFT('班次明細'!O19,2)="拍區",IF(AND('班次明細'!L19&gt;0,'班次明細'!G19&lt;=B153,'班次明細'!H19&gt;=C153),1,0),0)+IF(LEFT('班次明細'!O26,2)="拍區",IF(AND('班次明細'!L26&gt;0,'班次明細'!G26&lt;=B153,'班次明細'!H26&gt;=C153),1,0),0)+IF(LEFT('班次明細'!O33,2)="拍區",IF(AND('班次明細'!L33&gt;0,'班次明細'!G33&lt;=B153,'班次明細'!H33&gt;=C153),1,0),0)+IF(LEFT('班次明細'!O40,2)="拍區",IF(AND('班次明細'!L40&gt;0,'班次明細'!G40&lt;=B153,'班次明細'!H40&gt;=C153),1,0),0)+IF(LEFT('班次明細'!O47,2)="拍區",IF(AND('班次明細'!L47&gt;0,'班次明細'!G47&lt;=B153,'班次明細'!H47&gt;=C153),1,0),0)+IF(LEFT('班次明細'!O54,2)="拍區",IF(AND('班次明細'!L54&gt;0,'班次明細'!G54&lt;=B153,'班次明細'!H54&gt;=C153),1,0),0)+IF(LEFT('班次明細'!O61,2)="拍區",IF(AND('班次明細'!L61&gt;0,'班次明細'!G61&lt;=B153,'班次明細'!H61&gt;=C153),1,0),0)+IF(LEFT('班次明細'!O68,2)="拍區",IF(AND('班次明細'!L68&gt;0,'班次明細'!G68&lt;=B153,'班次明細'!H68&gt;=C153),1,0),0)+IF(LEFT('班次明細'!O75,2)="拍區",IF(AND('班次明細'!L75&gt;0,'班次明細'!G75&lt;=B153,'班次明細'!H75&gt;=C153),1,0),0)+IF(LEFT('班次明細'!O82,2)="拍區",IF(AND('班次明細'!L82&gt;0,'班次明細'!G82&lt;=B153,'班次明細'!H82&gt;=C153),1,0),0))&gt;0,0,1)+IF(G153&lt;7,0,IF((IF(LEFT('班次明細'!O12,2)="控場",IF(AND('班次明細'!L12&gt;0,'班次明細'!G12&lt;=B153,'班次明細'!H12&gt;=C153),1,0),0)+IF(LEFT('班次明細'!O19,2)="控場",IF(AND('班次明細'!L19&gt;0,'班次明細'!G19&lt;=B153,'班次明細'!H19&gt;=C153),1,0),0)+IF(LEFT('班次明細'!O26,2)="控場",IF(AND('班次明細'!L26&gt;0,'班次明細'!G26&lt;=B153,'班次明細'!H26&gt;=C153),1,0),0)+IF(LEFT('班次明細'!O33,2)="控場",IF(AND('班次明細'!L33&gt;0,'班次明細'!G33&lt;=B153,'班次明細'!H33&gt;=C153),1,0),0)+IF(LEFT('班次明細'!O40,2)="控場",IF(AND('班次明細'!L40&gt;0,'班次明細'!G40&lt;=B153,'班次明細'!H40&gt;=C153),1,0),0)+IF(LEFT('班次明細'!O47,2)="控場",IF(AND('班次明細'!L47&gt;0,'班次明細'!G47&lt;=B153,'班次明細'!H47&gt;=C153),1,0),0)+IF(LEFT('班次明細'!O54,2)="控場",IF(AND('班次明細'!L54&gt;0,'班次明細'!G54&lt;=B153,'班次明細'!H54&gt;=C153),1,0),0)+IF(LEFT('班次明細'!O61,2)="控場",IF(AND('班次明細'!L61&gt;0,'班次明細'!G61&lt;=B153,'班次明細'!H61&gt;=C153),1,0),0)+IF(LEFT('班次明細'!O68,2)="控場",IF(AND('班次明細'!L68&gt;0,'班次明細'!G68&lt;=B153,'班次明細'!H68&gt;=C153),1,0),0)+IF(LEFT('班次明細'!O75,2)="控場",IF(AND('班次明細'!L75&gt;0,'班次明細'!G75&lt;=B153,'班次明細'!H75&gt;=C153),1,0),0)+IF(LEFT('班次明細'!O82,2)="控場",IF(AND('班次明細'!L82&gt;0,'班次明細'!G82&lt;=B153,'班次明細'!H82&gt;=C153),1,0),0))&gt;0,0,1))</x:f>
        <x:v>2</x:v>
      </x:c>
      <x:c r="K153" s="11" t="str">
        <x:v>P02:外場；P03:吧台；P07:外場；P09:司爐；P11:拍區</x:v>
      </x:c>
      <x:c r="L153" s="11" t="str">
        <x:f>IF(OR(H153&gt;0,I153&gt;0,J153&gt;0),"缺口／超額待處理","主崗齊；休息待現場")</x:f>
        <x:v>缺口／超額待處理</x:v>
      </x:c>
    </x:row>
    <x:row r="154" ht="42" customHeight="1">
      <x:c r="A154" s="12" t="n">
        <x:v>46320</x:v>
      </x:c>
      <x:c r="B154" s="13" t="n">
        <x:v>0.5</x:v>
      </x:c>
      <x:c r="C154" s="13" t="n">
        <x:v>0.5208333333333334</x:v>
      </x:c>
      <x:c r="D154" s="2" t="str">
        <x:v>午餐主崗</x:v>
      </x:c>
      <x:c r="E154" s="2" t="n">
        <x:v>6</x:v>
      </x:c>
      <x:c r="F154" s="2" t="n">
        <x:v>7</x:v>
      </x:c>
      <x:c r="G154" s="2" t="n">
        <x:f>IF(AND('班次明細'!L12&gt;0,'班次明細'!G12&lt;=B154,'班次明細'!H12&gt;=C154),1,0)+IF(AND('班次明細'!L19&gt;0,'班次明細'!G19&lt;=B154,'班次明細'!H19&gt;=C154),1,0)+IF(AND('班次明細'!L26&gt;0,'班次明細'!G26&lt;=B154,'班次明細'!H26&gt;=C154),1,0)+IF(AND('班次明細'!L33&gt;0,'班次明細'!G33&lt;=B154,'班次明細'!H33&gt;=C154),1,0)+IF(AND('班次明細'!L40&gt;0,'班次明細'!G40&lt;=B154,'班次明細'!H40&gt;=C154),1,0)+IF(AND('班次明細'!L47&gt;0,'班次明細'!G47&lt;=B154,'班次明細'!H47&gt;=C154),1,0)+IF(AND('班次明細'!L54&gt;0,'班次明細'!G54&lt;=B154,'班次明細'!H54&gt;=C154),1,0)+IF(AND('班次明細'!L61&gt;0,'班次明細'!G61&lt;=B154,'班次明細'!H61&gt;=C154),1,0)+IF(AND('班次明細'!L68&gt;0,'班次明細'!G68&lt;=B154,'班次明細'!H68&gt;=C154),1,0)+IF(AND('班次明細'!L75&gt;0,'班次明細'!G75&lt;=B154,'班次明細'!H75&gt;=C154),1,0)+IF(AND('班次明細'!L82&gt;0,'班次明細'!G82&lt;=B154,'班次明細'!H82&gt;=C154),1,0)</x:f>
        <x:v>7</x:v>
      </x:c>
      <x:c r="H154" s="2" t="n">
        <x:f>MAX(0,E154-G154)</x:f>
        <x:v>0</x:v>
      </x:c>
      <x:c r="I154" s="2" t="n">
        <x:f>IF(F154="",0,MAX(0,G154-F154))</x:f>
        <x:v>0</x:v>
      </x:c>
      <x:c r="J154" s="2" t="n">
        <x:f>IF((IF(LEFT('班次明細'!O12,2)="外場",IF(AND('班次明細'!L12&gt;0,'班次明細'!G12&lt;=B154,'班次明細'!H12&gt;=C154),1,0),0)+IF(LEFT('班次明細'!O19,2)="外場",IF(AND('班次明細'!L19&gt;0,'班次明細'!G19&lt;=B154,'班次明細'!H19&gt;=C154),1,0),0)+IF(LEFT('班次明細'!O26,2)="外場",IF(AND('班次明細'!L26&gt;0,'班次明細'!G26&lt;=B154,'班次明細'!H26&gt;=C154),1,0),0)+IF(LEFT('班次明細'!O33,2)="外場",IF(AND('班次明細'!L33&gt;0,'班次明細'!G33&lt;=B154,'班次明細'!H33&gt;=C154),1,0),0)+IF(LEFT('班次明細'!O40,2)="外場",IF(AND('班次明細'!L40&gt;0,'班次明細'!G40&lt;=B154,'班次明細'!H40&gt;=C154),1,0),0)+IF(LEFT('班次明細'!O47,2)="外場",IF(AND('班次明細'!L47&gt;0,'班次明細'!G47&lt;=B154,'班次明細'!H47&gt;=C154),1,0),0)+IF(LEFT('班次明細'!O54,2)="外場",IF(AND('班次明細'!L54&gt;0,'班次明細'!G54&lt;=B154,'班次明細'!H54&gt;=C154),1,0),0)+IF(LEFT('班次明細'!O61,2)="外場",IF(AND('班次明細'!L61&gt;0,'班次明細'!G61&lt;=B154,'班次明細'!H61&gt;=C154),1,0),0)+IF(LEFT('班次明細'!O68,2)="外場",IF(AND('班次明細'!L68&gt;0,'班次明細'!G68&lt;=B154,'班次明細'!H68&gt;=C154),1,0),0)+IF(LEFT('班次明細'!O75,2)="外場",IF(AND('班次明細'!L75&gt;0,'班次明細'!G75&lt;=B154,'班次明細'!H75&gt;=C154),1,0),0)+IF(LEFT('班次明細'!O82,2)="外場",IF(AND('班次明細'!L82&gt;0,'班次明細'!G82&lt;=B154,'班次明細'!H82&gt;=C154),1,0),0))&gt;0,0,1)+IF((IF(LEFT('班次明細'!O12,2)="吧台",IF(AND('班次明細'!L12&gt;0,'班次明細'!G12&lt;=B154,'班次明細'!H12&gt;=C154),1,0),0)+IF(LEFT('班次明細'!O19,2)="吧台",IF(AND('班次明細'!L19&gt;0,'班次明細'!G19&lt;=B154,'班次明細'!H19&gt;=C154),1,0),0)+IF(LEFT('班次明細'!O26,2)="吧台",IF(AND('班次明細'!L26&gt;0,'班次明細'!G26&lt;=B154,'班次明細'!H26&gt;=C154),1,0),0)+IF(LEFT('班次明細'!O33,2)="吧台",IF(AND('班次明細'!L33&gt;0,'班次明細'!G33&lt;=B154,'班次明細'!H33&gt;=C154),1,0),0)+IF(LEFT('班次明細'!O40,2)="吧台",IF(AND('班次明細'!L40&gt;0,'班次明細'!G40&lt;=B154,'班次明細'!H40&gt;=C154),1,0),0)+IF(LEFT('班次明細'!O47,2)="吧台",IF(AND('班次明細'!L47&gt;0,'班次明細'!G47&lt;=B154,'班次明細'!H47&gt;=C154),1,0),0)+IF(LEFT('班次明細'!O54,2)="吧台",IF(AND('班次明細'!L54&gt;0,'班次明細'!G54&lt;=B154,'班次明細'!H54&gt;=C154),1,0),0)+IF(LEFT('班次明細'!O61,2)="吧台",IF(AND('班次明細'!L61&gt;0,'班次明細'!G61&lt;=B154,'班次明細'!H61&gt;=C154),1,0),0)+IF(LEFT('班次明細'!O68,2)="吧台",IF(AND('班次明細'!L68&gt;0,'班次明細'!G68&lt;=B154,'班次明細'!H68&gt;=C154),1,0),0)+IF(LEFT('班次明細'!O75,2)="吧台",IF(AND('班次明細'!L75&gt;0,'班次明細'!G75&lt;=B154,'班次明細'!H75&gt;=C154),1,0),0)+IF(LEFT('班次明細'!O82,2)="吧台",IF(AND('班次明細'!L82&gt;0,'班次明細'!G82&lt;=B154,'班次明細'!H82&gt;=C154),1,0),0))&gt;0,0,1)+IF((IF(LEFT('班次明細'!O12,2)="司爐",IF(AND('班次明細'!L12&gt;0,'班次明細'!G12&lt;=B154,'班次明細'!H12&gt;=C154),1,0),0)+IF(LEFT('班次明細'!O19,2)="司爐",IF(AND('班次明細'!L19&gt;0,'班次明細'!G19&lt;=B154,'班次明細'!H19&gt;=C154),1,0),0)+IF(LEFT('班次明細'!O26,2)="司爐",IF(AND('班次明細'!L26&gt;0,'班次明細'!G26&lt;=B154,'班次明細'!H26&gt;=C154),1,0),0)+IF(LEFT('班次明細'!O33,2)="司爐",IF(AND('班次明細'!L33&gt;0,'班次明細'!G33&lt;=B154,'班次明細'!H33&gt;=C154),1,0),0)+IF(LEFT('班次明細'!O40,2)="司爐",IF(AND('班次明細'!L40&gt;0,'班次明細'!G40&lt;=B154,'班次明細'!H40&gt;=C154),1,0),0)+IF(LEFT('班次明細'!O47,2)="司爐",IF(AND('班次明細'!L47&gt;0,'班次明細'!G47&lt;=B154,'班次明細'!H47&gt;=C154),1,0),0)+IF(LEFT('班次明細'!O54,2)="司爐",IF(AND('班次明細'!L54&gt;0,'班次明細'!G54&lt;=B154,'班次明細'!H54&gt;=C154),1,0),0)+IF(LEFT('班次明細'!O61,2)="司爐",IF(AND('班次明細'!L61&gt;0,'班次明細'!G61&lt;=B154,'班次明細'!H61&gt;=C154),1,0),0)+IF(LEFT('班次明細'!O68,2)="司爐",IF(AND('班次明細'!L68&gt;0,'班次明細'!G68&lt;=B154,'班次明細'!H68&gt;=C154),1,0),0)+IF(LEFT('班次明細'!O75,2)="司爐",IF(AND('班次明細'!L75&gt;0,'班次明細'!G75&lt;=B154,'班次明細'!H75&gt;=C154),1,0),0)+IF(LEFT('班次明細'!O82,2)="司爐",IF(AND('班次明細'!L82&gt;0,'班次明細'!G82&lt;=B154,'班次明細'!H82&gt;=C154),1,0),0))&gt;0,0,1)+IF((IF(LEFT('班次明細'!O12,2)="料區",IF(AND('班次明細'!L12&gt;0,'班次明細'!G12&lt;=B154,'班次明細'!H12&gt;=C154),1,0),0)+IF(LEFT('班次明細'!O19,2)="料區",IF(AND('班次明細'!L19&gt;0,'班次明細'!G19&lt;=B154,'班次明細'!H19&gt;=C154),1,0),0)+IF(LEFT('班次明細'!O26,2)="料區",IF(AND('班次明細'!L26&gt;0,'班次明細'!G26&lt;=B154,'班次明細'!H26&gt;=C154),1,0),0)+IF(LEFT('班次明細'!O33,2)="料區",IF(AND('班次明細'!L33&gt;0,'班次明細'!G33&lt;=B154,'班次明細'!H33&gt;=C154),1,0),0)+IF(LEFT('班次明細'!O40,2)="料區",IF(AND('班次明細'!L40&gt;0,'班次明細'!G40&lt;=B154,'班次明細'!H40&gt;=C154),1,0),0)+IF(LEFT('班次明細'!O47,2)="料區",IF(AND('班次明細'!L47&gt;0,'班次明細'!G47&lt;=B154,'班次明細'!H47&gt;=C154),1,0),0)+IF(LEFT('班次明細'!O54,2)="料區",IF(AND('班次明細'!L54&gt;0,'班次明細'!G54&lt;=B154,'班次明細'!H54&gt;=C154),1,0),0)+IF(LEFT('班次明細'!O61,2)="料區",IF(AND('班次明細'!L61&gt;0,'班次明細'!G61&lt;=B154,'班次明細'!H61&gt;=C154),1,0),0)+IF(LEFT('班次明細'!O68,2)="料區",IF(AND('班次明細'!L68&gt;0,'班次明細'!G68&lt;=B154,'班次明細'!H68&gt;=C154),1,0),0)+IF(LEFT('班次明細'!O75,2)="料區",IF(AND('班次明細'!L75&gt;0,'班次明細'!G75&lt;=B154,'班次明細'!H75&gt;=C154),1,0),0)+IF(LEFT('班次明細'!O82,2)="料區",IF(AND('班次明細'!L82&gt;0,'班次明細'!G82&lt;=B154,'班次明細'!H82&gt;=C154),1,0),0))&gt;0,0,1)+IF((IF(LEFT('班次明細'!O12,2)="炸區",IF(AND('班次明細'!L12&gt;0,'班次明細'!G12&lt;=B154,'班次明細'!H12&gt;=C154),1,0),0)+IF(LEFT('班次明細'!O19,2)="炸區",IF(AND('班次明細'!L19&gt;0,'班次明細'!G19&lt;=B154,'班次明細'!H19&gt;=C154),1,0),0)+IF(LEFT('班次明細'!O26,2)="炸區",IF(AND('班次明細'!L26&gt;0,'班次明細'!G26&lt;=B154,'班次明細'!H26&gt;=C154),1,0),0)+IF(LEFT('班次明細'!O33,2)="炸區",IF(AND('班次明細'!L33&gt;0,'班次明細'!G33&lt;=B154,'班次明細'!H33&gt;=C154),1,0),0)+IF(LEFT('班次明細'!O40,2)="炸區",IF(AND('班次明細'!L40&gt;0,'班次明細'!G40&lt;=B154,'班次明細'!H40&gt;=C154),1,0),0)+IF(LEFT('班次明細'!O47,2)="炸區",IF(AND('班次明細'!L47&gt;0,'班次明細'!G47&lt;=B154,'班次明細'!H47&gt;=C154),1,0),0)+IF(LEFT('班次明細'!O54,2)="炸區",IF(AND('班次明細'!L54&gt;0,'班次明細'!G54&lt;=B154,'班次明細'!H54&gt;=C154),1,0),0)+IF(LEFT('班次明細'!O61,2)="炸區",IF(AND('班次明細'!L61&gt;0,'班次明細'!G61&lt;=B154,'班次明細'!H61&gt;=C154),1,0),0)+IF(LEFT('班次明細'!O68,2)="炸區",IF(AND('班次明細'!L68&gt;0,'班次明細'!G68&lt;=B154,'班次明細'!H68&gt;=C154),1,0),0)+IF(LEFT('班次明細'!O75,2)="炸區",IF(AND('班次明細'!L75&gt;0,'班次明細'!G75&lt;=B154,'班次明細'!H75&gt;=C154),1,0),0)+IF(LEFT('班次明細'!O82,2)="炸區",IF(AND('班次明細'!L82&gt;0,'班次明細'!G82&lt;=B154,'班次明細'!H82&gt;=C154),1,0),0))&gt;0,0,1)+IF((IF(LEFT('班次明細'!O12,2)="拍區",IF(AND('班次明細'!L12&gt;0,'班次明細'!G12&lt;=B154,'班次明細'!H12&gt;=C154),1,0),0)+IF(LEFT('班次明細'!O19,2)="拍區",IF(AND('班次明細'!L19&gt;0,'班次明細'!G19&lt;=B154,'班次明細'!H19&gt;=C154),1,0),0)+IF(LEFT('班次明細'!O26,2)="拍區",IF(AND('班次明細'!L26&gt;0,'班次明細'!G26&lt;=B154,'班次明細'!H26&gt;=C154),1,0),0)+IF(LEFT('班次明細'!O33,2)="拍區",IF(AND('班次明細'!L33&gt;0,'班次明細'!G33&lt;=B154,'班次明細'!H33&gt;=C154),1,0),0)+IF(LEFT('班次明細'!O40,2)="拍區",IF(AND('班次明細'!L40&gt;0,'班次明細'!G40&lt;=B154,'班次明細'!H40&gt;=C154),1,0),0)+IF(LEFT('班次明細'!O47,2)="拍區",IF(AND('班次明細'!L47&gt;0,'班次明細'!G47&lt;=B154,'班次明細'!H47&gt;=C154),1,0),0)+IF(LEFT('班次明細'!O54,2)="拍區",IF(AND('班次明細'!L54&gt;0,'班次明細'!G54&lt;=B154,'班次明細'!H54&gt;=C154),1,0),0)+IF(LEFT('班次明細'!O61,2)="拍區",IF(AND('班次明細'!L61&gt;0,'班次明細'!G61&lt;=B154,'班次明細'!H61&gt;=C154),1,0),0)+IF(LEFT('班次明細'!O68,2)="拍區",IF(AND('班次明細'!L68&gt;0,'班次明細'!G68&lt;=B154,'班次明細'!H68&gt;=C154),1,0),0)+IF(LEFT('班次明細'!O75,2)="拍區",IF(AND('班次明細'!L75&gt;0,'班次明細'!G75&lt;=B154,'班次明細'!H75&gt;=C154),1,0),0)+IF(LEFT('班次明細'!O82,2)="拍區",IF(AND('班次明細'!L82&gt;0,'班次明細'!G82&lt;=B154,'班次明細'!H82&gt;=C154),1,0),0))&gt;0,0,1)+IF(G154&lt;7,0,IF((IF(LEFT('班次明細'!O12,2)="控場",IF(AND('班次明細'!L12&gt;0,'班次明細'!G12&lt;=B154,'班次明細'!H12&gt;=C154),1,0),0)+IF(LEFT('班次明細'!O19,2)="控場",IF(AND('班次明細'!L19&gt;0,'班次明細'!G19&lt;=B154,'班次明細'!H19&gt;=C154),1,0),0)+IF(LEFT('班次明細'!O26,2)="控場",IF(AND('班次明細'!L26&gt;0,'班次明細'!G26&lt;=B154,'班次明細'!H26&gt;=C154),1,0),0)+IF(LEFT('班次明細'!O33,2)="控場",IF(AND('班次明細'!L33&gt;0,'班次明細'!G33&lt;=B154,'班次明細'!H33&gt;=C154),1,0),0)+IF(LEFT('班次明細'!O40,2)="控場",IF(AND('班次明細'!L40&gt;0,'班次明細'!G40&lt;=B154,'班次明細'!H40&gt;=C154),1,0),0)+IF(LEFT('班次明細'!O47,2)="控場",IF(AND('班次明細'!L47&gt;0,'班次明細'!G47&lt;=B154,'班次明細'!H47&gt;=C154),1,0),0)+IF(LEFT('班次明細'!O54,2)="控場",IF(AND('班次明細'!L54&gt;0,'班次明細'!G54&lt;=B154,'班次明細'!H54&gt;=C154),1,0),0)+IF(LEFT('班次明細'!O61,2)="控場",IF(AND('班次明細'!L61&gt;0,'班次明細'!G61&lt;=B154,'班次明細'!H61&gt;=C154),1,0),0)+IF(LEFT('班次明細'!O68,2)="控場",IF(AND('班次明細'!L68&gt;0,'班次明細'!G68&lt;=B154,'班次明細'!H68&gt;=C154),1,0),0)+IF(LEFT('班次明細'!O75,2)="控場",IF(AND('班次明細'!L75&gt;0,'班次明細'!G75&lt;=B154,'班次明細'!H75&gt;=C154),1,0),0)+IF(LEFT('班次明細'!O82,2)="控場",IF(AND('班次明細'!L82&gt;0,'班次明細'!G82&lt;=B154,'班次明細'!H82&gt;=C154),1,0),0))&gt;0,0,1))</x:f>
        <x:v>1</x:v>
      </x:c>
      <x:c r="K154" s="11" t="str">
        <x:v>P02:外場；P03:吧台；P05:控場；P07:外場；P09:司爐；P10:炸區；P11:拍區</x:v>
      </x:c>
      <x:c r="L154" s="11" t="str">
        <x:f>IF(OR(H154&gt;0,I154&gt;0,J154&gt;0),"缺口／超額待處理","主崗齊；休息待現場")</x:f>
        <x:v>缺口／超額待處理</x:v>
      </x:c>
    </x:row>
    <x:row r="155" ht="42" customHeight="1">
      <x:c r="A155" s="12" t="n">
        <x:v>46320</x:v>
      </x:c>
      <x:c r="B155" s="13" t="n">
        <x:v>0.5208333333333334</x:v>
      </x:c>
      <x:c r="C155" s="13" t="n">
        <x:v>0.5416666666666666</x:v>
      </x:c>
      <x:c r="D155" s="2" t="str">
        <x:v>午餐主崗</x:v>
      </x:c>
      <x:c r="E155" s="2" t="n">
        <x:v>6</x:v>
      </x:c>
      <x:c r="F155" s="2" t="n">
        <x:v>7</x:v>
      </x:c>
      <x:c r="G155" s="2" t="n">
        <x:f>IF(AND('班次明細'!L12&gt;0,'班次明細'!G12&lt;=B155,'班次明細'!H12&gt;=C155),1,0)+IF(AND('班次明細'!L19&gt;0,'班次明細'!G19&lt;=B155,'班次明細'!H19&gt;=C155),1,0)+IF(AND('班次明細'!L26&gt;0,'班次明細'!G26&lt;=B155,'班次明細'!H26&gt;=C155),1,0)+IF(AND('班次明細'!L33&gt;0,'班次明細'!G33&lt;=B155,'班次明細'!H33&gt;=C155),1,0)+IF(AND('班次明細'!L40&gt;0,'班次明細'!G40&lt;=B155,'班次明細'!H40&gt;=C155),1,0)+IF(AND('班次明細'!L47&gt;0,'班次明細'!G47&lt;=B155,'班次明細'!H47&gt;=C155),1,0)+IF(AND('班次明細'!L54&gt;0,'班次明細'!G54&lt;=B155,'班次明細'!H54&gt;=C155),1,0)+IF(AND('班次明細'!L61&gt;0,'班次明細'!G61&lt;=B155,'班次明細'!H61&gt;=C155),1,0)+IF(AND('班次明細'!L68&gt;0,'班次明細'!G68&lt;=B155,'班次明細'!H68&gt;=C155),1,0)+IF(AND('班次明細'!L75&gt;0,'班次明細'!G75&lt;=B155,'班次明細'!H75&gt;=C155),1,0)+IF(AND('班次明細'!L82&gt;0,'班次明細'!G82&lt;=B155,'班次明細'!H82&gt;=C155),1,0)</x:f>
        <x:v>7</x:v>
      </x:c>
      <x:c r="H155" s="2" t="n">
        <x:f>MAX(0,E155-G155)</x:f>
        <x:v>0</x:v>
      </x:c>
      <x:c r="I155" s="2" t="n">
        <x:f>IF(F155="",0,MAX(0,G155-F155))</x:f>
        <x:v>0</x:v>
      </x:c>
      <x:c r="J155" s="2" t="n">
        <x:f>IF((IF(LEFT('班次明細'!O12,2)="外場",IF(AND('班次明細'!L12&gt;0,'班次明細'!G12&lt;=B155,'班次明細'!H12&gt;=C155),1,0),0)+IF(LEFT('班次明細'!O19,2)="外場",IF(AND('班次明細'!L19&gt;0,'班次明細'!G19&lt;=B155,'班次明細'!H19&gt;=C155),1,0),0)+IF(LEFT('班次明細'!O26,2)="外場",IF(AND('班次明細'!L26&gt;0,'班次明細'!G26&lt;=B155,'班次明細'!H26&gt;=C155),1,0),0)+IF(LEFT('班次明細'!O33,2)="外場",IF(AND('班次明細'!L33&gt;0,'班次明細'!G33&lt;=B155,'班次明細'!H33&gt;=C155),1,0),0)+IF(LEFT('班次明細'!O40,2)="外場",IF(AND('班次明細'!L40&gt;0,'班次明細'!G40&lt;=B155,'班次明細'!H40&gt;=C155),1,0),0)+IF(LEFT('班次明細'!O47,2)="外場",IF(AND('班次明細'!L47&gt;0,'班次明細'!G47&lt;=B155,'班次明細'!H47&gt;=C155),1,0),0)+IF(LEFT('班次明細'!O54,2)="外場",IF(AND('班次明細'!L54&gt;0,'班次明細'!G54&lt;=B155,'班次明細'!H54&gt;=C155),1,0),0)+IF(LEFT('班次明細'!O61,2)="外場",IF(AND('班次明細'!L61&gt;0,'班次明細'!G61&lt;=B155,'班次明細'!H61&gt;=C155),1,0),0)+IF(LEFT('班次明細'!O68,2)="外場",IF(AND('班次明細'!L68&gt;0,'班次明細'!G68&lt;=B155,'班次明細'!H68&gt;=C155),1,0),0)+IF(LEFT('班次明細'!O75,2)="外場",IF(AND('班次明細'!L75&gt;0,'班次明細'!G75&lt;=B155,'班次明細'!H75&gt;=C155),1,0),0)+IF(LEFT('班次明細'!O82,2)="外場",IF(AND('班次明細'!L82&gt;0,'班次明細'!G82&lt;=B155,'班次明細'!H82&gt;=C155),1,0),0))&gt;0,0,1)+IF((IF(LEFT('班次明細'!O12,2)="吧台",IF(AND('班次明細'!L12&gt;0,'班次明細'!G12&lt;=B155,'班次明細'!H12&gt;=C155),1,0),0)+IF(LEFT('班次明細'!O19,2)="吧台",IF(AND('班次明細'!L19&gt;0,'班次明細'!G19&lt;=B155,'班次明細'!H19&gt;=C155),1,0),0)+IF(LEFT('班次明細'!O26,2)="吧台",IF(AND('班次明細'!L26&gt;0,'班次明細'!G26&lt;=B155,'班次明細'!H26&gt;=C155),1,0),0)+IF(LEFT('班次明細'!O33,2)="吧台",IF(AND('班次明細'!L33&gt;0,'班次明細'!G33&lt;=B155,'班次明細'!H33&gt;=C155),1,0),0)+IF(LEFT('班次明細'!O40,2)="吧台",IF(AND('班次明細'!L40&gt;0,'班次明細'!G40&lt;=B155,'班次明細'!H40&gt;=C155),1,0),0)+IF(LEFT('班次明細'!O47,2)="吧台",IF(AND('班次明細'!L47&gt;0,'班次明細'!G47&lt;=B155,'班次明細'!H47&gt;=C155),1,0),0)+IF(LEFT('班次明細'!O54,2)="吧台",IF(AND('班次明細'!L54&gt;0,'班次明細'!G54&lt;=B155,'班次明細'!H54&gt;=C155),1,0),0)+IF(LEFT('班次明細'!O61,2)="吧台",IF(AND('班次明細'!L61&gt;0,'班次明細'!G61&lt;=B155,'班次明細'!H61&gt;=C155),1,0),0)+IF(LEFT('班次明細'!O68,2)="吧台",IF(AND('班次明細'!L68&gt;0,'班次明細'!G68&lt;=B155,'班次明細'!H68&gt;=C155),1,0),0)+IF(LEFT('班次明細'!O75,2)="吧台",IF(AND('班次明細'!L75&gt;0,'班次明細'!G75&lt;=B155,'班次明細'!H75&gt;=C155),1,0),0)+IF(LEFT('班次明細'!O82,2)="吧台",IF(AND('班次明細'!L82&gt;0,'班次明細'!G82&lt;=B155,'班次明細'!H82&gt;=C155),1,0),0))&gt;0,0,1)+IF((IF(LEFT('班次明細'!O12,2)="司爐",IF(AND('班次明細'!L12&gt;0,'班次明細'!G12&lt;=B155,'班次明細'!H12&gt;=C155),1,0),0)+IF(LEFT('班次明細'!O19,2)="司爐",IF(AND('班次明細'!L19&gt;0,'班次明細'!G19&lt;=B155,'班次明細'!H19&gt;=C155),1,0),0)+IF(LEFT('班次明細'!O26,2)="司爐",IF(AND('班次明細'!L26&gt;0,'班次明細'!G26&lt;=B155,'班次明細'!H26&gt;=C155),1,0),0)+IF(LEFT('班次明細'!O33,2)="司爐",IF(AND('班次明細'!L33&gt;0,'班次明細'!G33&lt;=B155,'班次明細'!H33&gt;=C155),1,0),0)+IF(LEFT('班次明細'!O40,2)="司爐",IF(AND('班次明細'!L40&gt;0,'班次明細'!G40&lt;=B155,'班次明細'!H40&gt;=C155),1,0),0)+IF(LEFT('班次明細'!O47,2)="司爐",IF(AND('班次明細'!L47&gt;0,'班次明細'!G47&lt;=B155,'班次明細'!H47&gt;=C155),1,0),0)+IF(LEFT('班次明細'!O54,2)="司爐",IF(AND('班次明細'!L54&gt;0,'班次明細'!G54&lt;=B155,'班次明細'!H54&gt;=C155),1,0),0)+IF(LEFT('班次明細'!O61,2)="司爐",IF(AND('班次明細'!L61&gt;0,'班次明細'!G61&lt;=B155,'班次明細'!H61&gt;=C155),1,0),0)+IF(LEFT('班次明細'!O68,2)="司爐",IF(AND('班次明細'!L68&gt;0,'班次明細'!G68&lt;=B155,'班次明細'!H68&gt;=C155),1,0),0)+IF(LEFT('班次明細'!O75,2)="司爐",IF(AND('班次明細'!L75&gt;0,'班次明細'!G75&lt;=B155,'班次明細'!H75&gt;=C155),1,0),0)+IF(LEFT('班次明細'!O82,2)="司爐",IF(AND('班次明細'!L82&gt;0,'班次明細'!G82&lt;=B155,'班次明細'!H82&gt;=C155),1,0),0))&gt;0,0,1)+IF((IF(LEFT('班次明細'!O12,2)="料區",IF(AND('班次明細'!L12&gt;0,'班次明細'!G12&lt;=B155,'班次明細'!H12&gt;=C155),1,0),0)+IF(LEFT('班次明細'!O19,2)="料區",IF(AND('班次明細'!L19&gt;0,'班次明細'!G19&lt;=B155,'班次明細'!H19&gt;=C155),1,0),0)+IF(LEFT('班次明細'!O26,2)="料區",IF(AND('班次明細'!L26&gt;0,'班次明細'!G26&lt;=B155,'班次明細'!H26&gt;=C155),1,0),0)+IF(LEFT('班次明細'!O33,2)="料區",IF(AND('班次明細'!L33&gt;0,'班次明細'!G33&lt;=B155,'班次明細'!H33&gt;=C155),1,0),0)+IF(LEFT('班次明細'!O40,2)="料區",IF(AND('班次明細'!L40&gt;0,'班次明細'!G40&lt;=B155,'班次明細'!H40&gt;=C155),1,0),0)+IF(LEFT('班次明細'!O47,2)="料區",IF(AND('班次明細'!L47&gt;0,'班次明細'!G47&lt;=B155,'班次明細'!H47&gt;=C155),1,0),0)+IF(LEFT('班次明細'!O54,2)="料區",IF(AND('班次明細'!L54&gt;0,'班次明細'!G54&lt;=B155,'班次明細'!H54&gt;=C155),1,0),0)+IF(LEFT('班次明細'!O61,2)="料區",IF(AND('班次明細'!L61&gt;0,'班次明細'!G61&lt;=B155,'班次明細'!H61&gt;=C155),1,0),0)+IF(LEFT('班次明細'!O68,2)="料區",IF(AND('班次明細'!L68&gt;0,'班次明細'!G68&lt;=B155,'班次明細'!H68&gt;=C155),1,0),0)+IF(LEFT('班次明細'!O75,2)="料區",IF(AND('班次明細'!L75&gt;0,'班次明細'!G75&lt;=B155,'班次明細'!H75&gt;=C155),1,0),0)+IF(LEFT('班次明細'!O82,2)="料區",IF(AND('班次明細'!L82&gt;0,'班次明細'!G82&lt;=B155,'班次明細'!H82&gt;=C155),1,0),0))&gt;0,0,1)+IF((IF(LEFT('班次明細'!O12,2)="炸區",IF(AND('班次明細'!L12&gt;0,'班次明細'!G12&lt;=B155,'班次明細'!H12&gt;=C155),1,0),0)+IF(LEFT('班次明細'!O19,2)="炸區",IF(AND('班次明細'!L19&gt;0,'班次明細'!G19&lt;=B155,'班次明細'!H19&gt;=C155),1,0),0)+IF(LEFT('班次明細'!O26,2)="炸區",IF(AND('班次明細'!L26&gt;0,'班次明細'!G26&lt;=B155,'班次明細'!H26&gt;=C155),1,0),0)+IF(LEFT('班次明細'!O33,2)="炸區",IF(AND('班次明細'!L33&gt;0,'班次明細'!G33&lt;=B155,'班次明細'!H33&gt;=C155),1,0),0)+IF(LEFT('班次明細'!O40,2)="炸區",IF(AND('班次明細'!L40&gt;0,'班次明細'!G40&lt;=B155,'班次明細'!H40&gt;=C155),1,0),0)+IF(LEFT('班次明細'!O47,2)="炸區",IF(AND('班次明細'!L47&gt;0,'班次明細'!G47&lt;=B155,'班次明細'!H47&gt;=C155),1,0),0)+IF(LEFT('班次明細'!O54,2)="炸區",IF(AND('班次明細'!L54&gt;0,'班次明細'!G54&lt;=B155,'班次明細'!H54&gt;=C155),1,0),0)+IF(LEFT('班次明細'!O61,2)="炸區",IF(AND('班次明細'!L61&gt;0,'班次明細'!G61&lt;=B155,'班次明細'!H61&gt;=C155),1,0),0)+IF(LEFT('班次明細'!O68,2)="炸區",IF(AND('班次明細'!L68&gt;0,'班次明細'!G68&lt;=B155,'班次明細'!H68&gt;=C155),1,0),0)+IF(LEFT('班次明細'!O75,2)="炸區",IF(AND('班次明細'!L75&gt;0,'班次明細'!G75&lt;=B155,'班次明細'!H75&gt;=C155),1,0),0)+IF(LEFT('班次明細'!O82,2)="炸區",IF(AND('班次明細'!L82&gt;0,'班次明細'!G82&lt;=B155,'班次明細'!H82&gt;=C155),1,0),0))&gt;0,0,1)+IF((IF(LEFT('班次明細'!O12,2)="拍區",IF(AND('班次明細'!L12&gt;0,'班次明細'!G12&lt;=B155,'班次明細'!H12&gt;=C155),1,0),0)+IF(LEFT('班次明細'!O19,2)="拍區",IF(AND('班次明細'!L19&gt;0,'班次明細'!G19&lt;=B155,'班次明細'!H19&gt;=C155),1,0),0)+IF(LEFT('班次明細'!O26,2)="拍區",IF(AND('班次明細'!L26&gt;0,'班次明細'!G26&lt;=B155,'班次明細'!H26&gt;=C155),1,0),0)+IF(LEFT('班次明細'!O33,2)="拍區",IF(AND('班次明細'!L33&gt;0,'班次明細'!G33&lt;=B155,'班次明細'!H33&gt;=C155),1,0),0)+IF(LEFT('班次明細'!O40,2)="拍區",IF(AND('班次明細'!L40&gt;0,'班次明細'!G40&lt;=B155,'班次明細'!H40&gt;=C155),1,0),0)+IF(LEFT('班次明細'!O47,2)="拍區",IF(AND('班次明細'!L47&gt;0,'班次明細'!G47&lt;=B155,'班次明細'!H47&gt;=C155),1,0),0)+IF(LEFT('班次明細'!O54,2)="拍區",IF(AND('班次明細'!L54&gt;0,'班次明細'!G54&lt;=B155,'班次明細'!H54&gt;=C155),1,0),0)+IF(LEFT('班次明細'!O61,2)="拍區",IF(AND('班次明細'!L61&gt;0,'班次明細'!G61&lt;=B155,'班次明細'!H61&gt;=C155),1,0),0)+IF(LEFT('班次明細'!O68,2)="拍區",IF(AND('班次明細'!L68&gt;0,'班次明細'!G68&lt;=B155,'班次明細'!H68&gt;=C155),1,0),0)+IF(LEFT('班次明細'!O75,2)="拍區",IF(AND('班次明細'!L75&gt;0,'班次明細'!G75&lt;=B155,'班次明細'!H75&gt;=C155),1,0),0)+IF(LEFT('班次明細'!O82,2)="拍區",IF(AND('班次明細'!L82&gt;0,'班次明細'!G82&lt;=B155,'班次明細'!H82&gt;=C155),1,0),0))&gt;0,0,1)+IF(G155&lt;7,0,IF((IF(LEFT('班次明細'!O12,2)="控場",IF(AND('班次明細'!L12&gt;0,'班次明細'!G12&lt;=B155,'班次明細'!H12&gt;=C155),1,0),0)+IF(LEFT('班次明細'!O19,2)="控場",IF(AND('班次明細'!L19&gt;0,'班次明細'!G19&lt;=B155,'班次明細'!H19&gt;=C155),1,0),0)+IF(LEFT('班次明細'!O26,2)="控場",IF(AND('班次明細'!L26&gt;0,'班次明細'!G26&lt;=B155,'班次明細'!H26&gt;=C155),1,0),0)+IF(LEFT('班次明細'!O33,2)="控場",IF(AND('班次明細'!L33&gt;0,'班次明細'!G33&lt;=B155,'班次明細'!H33&gt;=C155),1,0),0)+IF(LEFT('班次明細'!O40,2)="控場",IF(AND('班次明細'!L40&gt;0,'班次明細'!G40&lt;=B155,'班次明細'!H40&gt;=C155),1,0),0)+IF(LEFT('班次明細'!O47,2)="控場",IF(AND('班次明細'!L47&gt;0,'班次明細'!G47&lt;=B155,'班次明細'!H47&gt;=C155),1,0),0)+IF(LEFT('班次明細'!O54,2)="控場",IF(AND('班次明細'!L54&gt;0,'班次明細'!G54&lt;=B155,'班次明細'!H54&gt;=C155),1,0),0)+IF(LEFT('班次明細'!O61,2)="控場",IF(AND('班次明細'!L61&gt;0,'班次明細'!G61&lt;=B155,'班次明細'!H61&gt;=C155),1,0),0)+IF(LEFT('班次明細'!O68,2)="控場",IF(AND('班次明細'!L68&gt;0,'班次明細'!G68&lt;=B155,'班次明細'!H68&gt;=C155),1,0),0)+IF(LEFT('班次明細'!O75,2)="控場",IF(AND('班次明細'!L75&gt;0,'班次明細'!G75&lt;=B155,'班次明細'!H75&gt;=C155),1,0),0)+IF(LEFT('班次明細'!O82,2)="控場",IF(AND('班次明細'!L82&gt;0,'班次明細'!G82&lt;=B155,'班次明細'!H82&gt;=C155),1,0),0))&gt;0,0,1))</x:f>
        <x:v>1</x:v>
      </x:c>
      <x:c r="K155" s="11" t="str">
        <x:v>P02:外場；P03:吧台；P05:控場；P07:外場；P09:司爐；P10:炸區；P11:拍區</x:v>
      </x:c>
      <x:c r="L155" s="11" t="str">
        <x:f>IF(OR(H155&gt;0,I155&gt;0,J155&gt;0),"缺口／超額待處理","主崗齊；休息待現場")</x:f>
        <x:v>缺口／超額待處理</x:v>
      </x:c>
    </x:row>
    <x:row r="156" ht="42" customHeight="1">
      <x:c r="A156" s="12" t="n">
        <x:v>46320</x:v>
      </x:c>
      <x:c r="B156" s="13" t="n">
        <x:v>0.5416666666666666</x:v>
      </x:c>
      <x:c r="C156" s="13" t="n">
        <x:v>0.5625</x:v>
      </x:c>
      <x:c r="D156" s="2" t="str">
        <x:v>午餐主崗</x:v>
      </x:c>
      <x:c r="E156" s="2" t="n">
        <x:v>6</x:v>
      </x:c>
      <x:c r="F156" s="2" t="n">
        <x:v>7</x:v>
      </x:c>
      <x:c r="G156" s="2" t="n">
        <x:f>IF(AND('班次明細'!L12&gt;0,'班次明細'!G12&lt;=B156,'班次明細'!H12&gt;=C156),1,0)+IF(AND('班次明細'!L19&gt;0,'班次明細'!G19&lt;=B156,'班次明細'!H19&gt;=C156),1,0)+IF(AND('班次明細'!L26&gt;0,'班次明細'!G26&lt;=B156,'班次明細'!H26&gt;=C156),1,0)+IF(AND('班次明細'!L33&gt;0,'班次明細'!G33&lt;=B156,'班次明細'!H33&gt;=C156),1,0)+IF(AND('班次明細'!L40&gt;0,'班次明細'!G40&lt;=B156,'班次明細'!H40&gt;=C156),1,0)+IF(AND('班次明細'!L47&gt;0,'班次明細'!G47&lt;=B156,'班次明細'!H47&gt;=C156),1,0)+IF(AND('班次明細'!L54&gt;0,'班次明細'!G54&lt;=B156,'班次明細'!H54&gt;=C156),1,0)+IF(AND('班次明細'!L61&gt;0,'班次明細'!G61&lt;=B156,'班次明細'!H61&gt;=C156),1,0)+IF(AND('班次明細'!L68&gt;0,'班次明細'!G68&lt;=B156,'班次明細'!H68&gt;=C156),1,0)+IF(AND('班次明細'!L75&gt;0,'班次明細'!G75&lt;=B156,'班次明細'!H75&gt;=C156),1,0)+IF(AND('班次明細'!L82&gt;0,'班次明細'!G82&lt;=B156,'班次明細'!H82&gt;=C156),1,0)</x:f>
        <x:v>7</x:v>
      </x:c>
      <x:c r="H156" s="2" t="n">
        <x:f>MAX(0,E156-G156)</x:f>
        <x:v>0</x:v>
      </x:c>
      <x:c r="I156" s="2" t="n">
        <x:f>IF(F156="",0,MAX(0,G156-F156))</x:f>
        <x:v>0</x:v>
      </x:c>
      <x:c r="J156" s="2" t="n">
        <x:f>IF((IF(LEFT('班次明細'!O12,2)="外場",IF(AND('班次明細'!L12&gt;0,'班次明細'!G12&lt;=B156,'班次明細'!H12&gt;=C156),1,0),0)+IF(LEFT('班次明細'!O19,2)="外場",IF(AND('班次明細'!L19&gt;0,'班次明細'!G19&lt;=B156,'班次明細'!H19&gt;=C156),1,0),0)+IF(LEFT('班次明細'!O26,2)="外場",IF(AND('班次明細'!L26&gt;0,'班次明細'!G26&lt;=B156,'班次明細'!H26&gt;=C156),1,0),0)+IF(LEFT('班次明細'!O33,2)="外場",IF(AND('班次明細'!L33&gt;0,'班次明細'!G33&lt;=B156,'班次明細'!H33&gt;=C156),1,0),0)+IF(LEFT('班次明細'!O40,2)="外場",IF(AND('班次明細'!L40&gt;0,'班次明細'!G40&lt;=B156,'班次明細'!H40&gt;=C156),1,0),0)+IF(LEFT('班次明細'!O47,2)="外場",IF(AND('班次明細'!L47&gt;0,'班次明細'!G47&lt;=B156,'班次明細'!H47&gt;=C156),1,0),0)+IF(LEFT('班次明細'!O54,2)="外場",IF(AND('班次明細'!L54&gt;0,'班次明細'!G54&lt;=B156,'班次明細'!H54&gt;=C156),1,0),0)+IF(LEFT('班次明細'!O61,2)="外場",IF(AND('班次明細'!L61&gt;0,'班次明細'!G61&lt;=B156,'班次明細'!H61&gt;=C156),1,0),0)+IF(LEFT('班次明細'!O68,2)="外場",IF(AND('班次明細'!L68&gt;0,'班次明細'!G68&lt;=B156,'班次明細'!H68&gt;=C156),1,0),0)+IF(LEFT('班次明細'!O75,2)="外場",IF(AND('班次明細'!L75&gt;0,'班次明細'!G75&lt;=B156,'班次明細'!H75&gt;=C156),1,0),0)+IF(LEFT('班次明細'!O82,2)="外場",IF(AND('班次明細'!L82&gt;0,'班次明細'!G82&lt;=B156,'班次明細'!H82&gt;=C156),1,0),0))&gt;0,0,1)+IF((IF(LEFT('班次明細'!O12,2)="吧台",IF(AND('班次明細'!L12&gt;0,'班次明細'!G12&lt;=B156,'班次明細'!H12&gt;=C156),1,0),0)+IF(LEFT('班次明細'!O19,2)="吧台",IF(AND('班次明細'!L19&gt;0,'班次明細'!G19&lt;=B156,'班次明細'!H19&gt;=C156),1,0),0)+IF(LEFT('班次明細'!O26,2)="吧台",IF(AND('班次明細'!L26&gt;0,'班次明細'!G26&lt;=B156,'班次明細'!H26&gt;=C156),1,0),0)+IF(LEFT('班次明細'!O33,2)="吧台",IF(AND('班次明細'!L33&gt;0,'班次明細'!G33&lt;=B156,'班次明細'!H33&gt;=C156),1,0),0)+IF(LEFT('班次明細'!O40,2)="吧台",IF(AND('班次明細'!L40&gt;0,'班次明細'!G40&lt;=B156,'班次明細'!H40&gt;=C156),1,0),0)+IF(LEFT('班次明細'!O47,2)="吧台",IF(AND('班次明細'!L47&gt;0,'班次明細'!G47&lt;=B156,'班次明細'!H47&gt;=C156),1,0),0)+IF(LEFT('班次明細'!O54,2)="吧台",IF(AND('班次明細'!L54&gt;0,'班次明細'!G54&lt;=B156,'班次明細'!H54&gt;=C156),1,0),0)+IF(LEFT('班次明細'!O61,2)="吧台",IF(AND('班次明細'!L61&gt;0,'班次明細'!G61&lt;=B156,'班次明細'!H61&gt;=C156),1,0),0)+IF(LEFT('班次明細'!O68,2)="吧台",IF(AND('班次明細'!L68&gt;0,'班次明細'!G68&lt;=B156,'班次明細'!H68&gt;=C156),1,0),0)+IF(LEFT('班次明細'!O75,2)="吧台",IF(AND('班次明細'!L75&gt;0,'班次明細'!G75&lt;=B156,'班次明細'!H75&gt;=C156),1,0),0)+IF(LEFT('班次明細'!O82,2)="吧台",IF(AND('班次明細'!L82&gt;0,'班次明細'!G82&lt;=B156,'班次明細'!H82&gt;=C156),1,0),0))&gt;0,0,1)+IF((IF(LEFT('班次明細'!O12,2)="司爐",IF(AND('班次明細'!L12&gt;0,'班次明細'!G12&lt;=B156,'班次明細'!H12&gt;=C156),1,0),0)+IF(LEFT('班次明細'!O19,2)="司爐",IF(AND('班次明細'!L19&gt;0,'班次明細'!G19&lt;=B156,'班次明細'!H19&gt;=C156),1,0),0)+IF(LEFT('班次明細'!O26,2)="司爐",IF(AND('班次明細'!L26&gt;0,'班次明細'!G26&lt;=B156,'班次明細'!H26&gt;=C156),1,0),0)+IF(LEFT('班次明細'!O33,2)="司爐",IF(AND('班次明細'!L33&gt;0,'班次明細'!G33&lt;=B156,'班次明細'!H33&gt;=C156),1,0),0)+IF(LEFT('班次明細'!O40,2)="司爐",IF(AND('班次明細'!L40&gt;0,'班次明細'!G40&lt;=B156,'班次明細'!H40&gt;=C156),1,0),0)+IF(LEFT('班次明細'!O47,2)="司爐",IF(AND('班次明細'!L47&gt;0,'班次明細'!G47&lt;=B156,'班次明細'!H47&gt;=C156),1,0),0)+IF(LEFT('班次明細'!O54,2)="司爐",IF(AND('班次明細'!L54&gt;0,'班次明細'!G54&lt;=B156,'班次明細'!H54&gt;=C156),1,0),0)+IF(LEFT('班次明細'!O61,2)="司爐",IF(AND('班次明細'!L61&gt;0,'班次明細'!G61&lt;=B156,'班次明細'!H61&gt;=C156),1,0),0)+IF(LEFT('班次明細'!O68,2)="司爐",IF(AND('班次明細'!L68&gt;0,'班次明細'!G68&lt;=B156,'班次明細'!H68&gt;=C156),1,0),0)+IF(LEFT('班次明細'!O75,2)="司爐",IF(AND('班次明細'!L75&gt;0,'班次明細'!G75&lt;=B156,'班次明細'!H75&gt;=C156),1,0),0)+IF(LEFT('班次明細'!O82,2)="司爐",IF(AND('班次明細'!L82&gt;0,'班次明細'!G82&lt;=B156,'班次明細'!H82&gt;=C156),1,0),0))&gt;0,0,1)+IF((IF(LEFT('班次明細'!O12,2)="料區",IF(AND('班次明細'!L12&gt;0,'班次明細'!G12&lt;=B156,'班次明細'!H12&gt;=C156),1,0),0)+IF(LEFT('班次明細'!O19,2)="料區",IF(AND('班次明細'!L19&gt;0,'班次明細'!G19&lt;=B156,'班次明細'!H19&gt;=C156),1,0),0)+IF(LEFT('班次明細'!O26,2)="料區",IF(AND('班次明細'!L26&gt;0,'班次明細'!G26&lt;=B156,'班次明細'!H26&gt;=C156),1,0),0)+IF(LEFT('班次明細'!O33,2)="料區",IF(AND('班次明細'!L33&gt;0,'班次明細'!G33&lt;=B156,'班次明細'!H33&gt;=C156),1,0),0)+IF(LEFT('班次明細'!O40,2)="料區",IF(AND('班次明細'!L40&gt;0,'班次明細'!G40&lt;=B156,'班次明細'!H40&gt;=C156),1,0),0)+IF(LEFT('班次明細'!O47,2)="料區",IF(AND('班次明細'!L47&gt;0,'班次明細'!G47&lt;=B156,'班次明細'!H47&gt;=C156),1,0),0)+IF(LEFT('班次明細'!O54,2)="料區",IF(AND('班次明細'!L54&gt;0,'班次明細'!G54&lt;=B156,'班次明細'!H54&gt;=C156),1,0),0)+IF(LEFT('班次明細'!O61,2)="料區",IF(AND('班次明細'!L61&gt;0,'班次明細'!G61&lt;=B156,'班次明細'!H61&gt;=C156),1,0),0)+IF(LEFT('班次明細'!O68,2)="料區",IF(AND('班次明細'!L68&gt;0,'班次明細'!G68&lt;=B156,'班次明細'!H68&gt;=C156),1,0),0)+IF(LEFT('班次明細'!O75,2)="料區",IF(AND('班次明細'!L75&gt;0,'班次明細'!G75&lt;=B156,'班次明細'!H75&gt;=C156),1,0),0)+IF(LEFT('班次明細'!O82,2)="料區",IF(AND('班次明細'!L82&gt;0,'班次明細'!G82&lt;=B156,'班次明細'!H82&gt;=C156),1,0),0))&gt;0,0,1)+IF((IF(LEFT('班次明細'!O12,2)="炸區",IF(AND('班次明細'!L12&gt;0,'班次明細'!G12&lt;=B156,'班次明細'!H12&gt;=C156),1,0),0)+IF(LEFT('班次明細'!O19,2)="炸區",IF(AND('班次明細'!L19&gt;0,'班次明細'!G19&lt;=B156,'班次明細'!H19&gt;=C156),1,0),0)+IF(LEFT('班次明細'!O26,2)="炸區",IF(AND('班次明細'!L26&gt;0,'班次明細'!G26&lt;=B156,'班次明細'!H26&gt;=C156),1,0),0)+IF(LEFT('班次明細'!O33,2)="炸區",IF(AND('班次明細'!L33&gt;0,'班次明細'!G33&lt;=B156,'班次明細'!H33&gt;=C156),1,0),0)+IF(LEFT('班次明細'!O40,2)="炸區",IF(AND('班次明細'!L40&gt;0,'班次明細'!G40&lt;=B156,'班次明細'!H40&gt;=C156),1,0),0)+IF(LEFT('班次明細'!O47,2)="炸區",IF(AND('班次明細'!L47&gt;0,'班次明細'!G47&lt;=B156,'班次明細'!H47&gt;=C156),1,0),0)+IF(LEFT('班次明細'!O54,2)="炸區",IF(AND('班次明細'!L54&gt;0,'班次明細'!G54&lt;=B156,'班次明細'!H54&gt;=C156),1,0),0)+IF(LEFT('班次明細'!O61,2)="炸區",IF(AND('班次明細'!L61&gt;0,'班次明細'!G61&lt;=B156,'班次明細'!H61&gt;=C156),1,0),0)+IF(LEFT('班次明細'!O68,2)="炸區",IF(AND('班次明細'!L68&gt;0,'班次明細'!G68&lt;=B156,'班次明細'!H68&gt;=C156),1,0),0)+IF(LEFT('班次明細'!O75,2)="炸區",IF(AND('班次明細'!L75&gt;0,'班次明細'!G75&lt;=B156,'班次明細'!H75&gt;=C156),1,0),0)+IF(LEFT('班次明細'!O82,2)="炸區",IF(AND('班次明細'!L82&gt;0,'班次明細'!G82&lt;=B156,'班次明細'!H82&gt;=C156),1,0),0))&gt;0,0,1)+IF((IF(LEFT('班次明細'!O12,2)="拍區",IF(AND('班次明細'!L12&gt;0,'班次明細'!G12&lt;=B156,'班次明細'!H12&gt;=C156),1,0),0)+IF(LEFT('班次明細'!O19,2)="拍區",IF(AND('班次明細'!L19&gt;0,'班次明細'!G19&lt;=B156,'班次明細'!H19&gt;=C156),1,0),0)+IF(LEFT('班次明細'!O26,2)="拍區",IF(AND('班次明細'!L26&gt;0,'班次明細'!G26&lt;=B156,'班次明細'!H26&gt;=C156),1,0),0)+IF(LEFT('班次明細'!O33,2)="拍區",IF(AND('班次明細'!L33&gt;0,'班次明細'!G33&lt;=B156,'班次明細'!H33&gt;=C156),1,0),0)+IF(LEFT('班次明細'!O40,2)="拍區",IF(AND('班次明細'!L40&gt;0,'班次明細'!G40&lt;=B156,'班次明細'!H40&gt;=C156),1,0),0)+IF(LEFT('班次明細'!O47,2)="拍區",IF(AND('班次明細'!L47&gt;0,'班次明細'!G47&lt;=B156,'班次明細'!H47&gt;=C156),1,0),0)+IF(LEFT('班次明細'!O54,2)="拍區",IF(AND('班次明細'!L54&gt;0,'班次明細'!G54&lt;=B156,'班次明細'!H54&gt;=C156),1,0),0)+IF(LEFT('班次明細'!O61,2)="拍區",IF(AND('班次明細'!L61&gt;0,'班次明細'!G61&lt;=B156,'班次明細'!H61&gt;=C156),1,0),0)+IF(LEFT('班次明細'!O68,2)="拍區",IF(AND('班次明細'!L68&gt;0,'班次明細'!G68&lt;=B156,'班次明細'!H68&gt;=C156),1,0),0)+IF(LEFT('班次明細'!O75,2)="拍區",IF(AND('班次明細'!L75&gt;0,'班次明細'!G75&lt;=B156,'班次明細'!H75&gt;=C156),1,0),0)+IF(LEFT('班次明細'!O82,2)="拍區",IF(AND('班次明細'!L82&gt;0,'班次明細'!G82&lt;=B156,'班次明細'!H82&gt;=C156),1,0),0))&gt;0,0,1)+IF(G156&lt;7,0,IF((IF(LEFT('班次明細'!O12,2)="控場",IF(AND('班次明細'!L12&gt;0,'班次明細'!G12&lt;=B156,'班次明細'!H12&gt;=C156),1,0),0)+IF(LEFT('班次明細'!O19,2)="控場",IF(AND('班次明細'!L19&gt;0,'班次明細'!G19&lt;=B156,'班次明細'!H19&gt;=C156),1,0),0)+IF(LEFT('班次明細'!O26,2)="控場",IF(AND('班次明細'!L26&gt;0,'班次明細'!G26&lt;=B156,'班次明細'!H26&gt;=C156),1,0),0)+IF(LEFT('班次明細'!O33,2)="控場",IF(AND('班次明細'!L33&gt;0,'班次明細'!G33&lt;=B156,'班次明細'!H33&gt;=C156),1,0),0)+IF(LEFT('班次明細'!O40,2)="控場",IF(AND('班次明細'!L40&gt;0,'班次明細'!G40&lt;=B156,'班次明細'!H40&gt;=C156),1,0),0)+IF(LEFT('班次明細'!O47,2)="控場",IF(AND('班次明細'!L47&gt;0,'班次明細'!G47&lt;=B156,'班次明細'!H47&gt;=C156),1,0),0)+IF(LEFT('班次明細'!O54,2)="控場",IF(AND('班次明細'!L54&gt;0,'班次明細'!G54&lt;=B156,'班次明細'!H54&gt;=C156),1,0),0)+IF(LEFT('班次明細'!O61,2)="控場",IF(AND('班次明細'!L61&gt;0,'班次明細'!G61&lt;=B156,'班次明細'!H61&gt;=C156),1,0),0)+IF(LEFT('班次明細'!O68,2)="控場",IF(AND('班次明細'!L68&gt;0,'班次明細'!G68&lt;=B156,'班次明細'!H68&gt;=C156),1,0),0)+IF(LEFT('班次明細'!O75,2)="控場",IF(AND('班次明細'!L75&gt;0,'班次明細'!G75&lt;=B156,'班次明細'!H75&gt;=C156),1,0),0)+IF(LEFT('班次明細'!O82,2)="控場",IF(AND('班次明細'!L82&gt;0,'班次明細'!G82&lt;=B156,'班次明細'!H82&gt;=C156),1,0),0))&gt;0,0,1))</x:f>
        <x:v>1</x:v>
      </x:c>
      <x:c r="K156" s="11" t="str">
        <x:v>P02:外場；P03:吧台；P05:控場；P07:外場；P09:司爐；P10:炸區；P11:拍區</x:v>
      </x:c>
      <x:c r="L156" s="11" t="str">
        <x:f>IF(OR(H156&gt;0,I156&gt;0,J156&gt;0),"缺口／超額待處理","主崗齊；休息待現場")</x:f>
        <x:v>缺口／超額待處理</x:v>
      </x:c>
    </x:row>
    <x:row r="157" ht="42" customHeight="1">
      <x:c r="A157" s="12" t="n">
        <x:v>46320</x:v>
      </x:c>
      <x:c r="B157" s="13" t="n">
        <x:v>0.5625</x:v>
      </x:c>
      <x:c r="C157" s="13" t="n">
        <x:v>0.5833333333333334</x:v>
      </x:c>
      <x:c r="D157" s="2" t="str">
        <x:v>午餐主崗</x:v>
      </x:c>
      <x:c r="E157" s="2" t="n">
        <x:v>6</x:v>
      </x:c>
      <x:c r="F157" s="2" t="n">
        <x:v>7</x:v>
      </x:c>
      <x:c r="G157" s="2" t="n">
        <x:f>IF(AND('班次明細'!L12&gt;0,'班次明細'!G12&lt;=B157,'班次明細'!H12&gt;=C157),1,0)+IF(AND('班次明細'!L19&gt;0,'班次明細'!G19&lt;=B157,'班次明細'!H19&gt;=C157),1,0)+IF(AND('班次明細'!L26&gt;0,'班次明細'!G26&lt;=B157,'班次明細'!H26&gt;=C157),1,0)+IF(AND('班次明細'!L33&gt;0,'班次明細'!G33&lt;=B157,'班次明細'!H33&gt;=C157),1,0)+IF(AND('班次明細'!L40&gt;0,'班次明細'!G40&lt;=B157,'班次明細'!H40&gt;=C157),1,0)+IF(AND('班次明細'!L47&gt;0,'班次明細'!G47&lt;=B157,'班次明細'!H47&gt;=C157),1,0)+IF(AND('班次明細'!L54&gt;0,'班次明細'!G54&lt;=B157,'班次明細'!H54&gt;=C157),1,0)+IF(AND('班次明細'!L61&gt;0,'班次明細'!G61&lt;=B157,'班次明細'!H61&gt;=C157),1,0)+IF(AND('班次明細'!L68&gt;0,'班次明細'!G68&lt;=B157,'班次明細'!H68&gt;=C157),1,0)+IF(AND('班次明細'!L75&gt;0,'班次明細'!G75&lt;=B157,'班次明細'!H75&gt;=C157),1,0)+IF(AND('班次明細'!L82&gt;0,'班次明細'!G82&lt;=B157,'班次明細'!H82&gt;=C157),1,0)</x:f>
        <x:v>7</x:v>
      </x:c>
      <x:c r="H157" s="2" t="n">
        <x:f>MAX(0,E157-G157)</x:f>
        <x:v>0</x:v>
      </x:c>
      <x:c r="I157" s="2" t="n">
        <x:f>IF(F157="",0,MAX(0,G157-F157))</x:f>
        <x:v>0</x:v>
      </x:c>
      <x:c r="J157" s="2" t="n">
        <x:f>IF((IF(LEFT('班次明細'!O12,2)="外場",IF(AND('班次明細'!L12&gt;0,'班次明細'!G12&lt;=B157,'班次明細'!H12&gt;=C157),1,0),0)+IF(LEFT('班次明細'!O19,2)="外場",IF(AND('班次明細'!L19&gt;0,'班次明細'!G19&lt;=B157,'班次明細'!H19&gt;=C157),1,0),0)+IF(LEFT('班次明細'!O26,2)="外場",IF(AND('班次明細'!L26&gt;0,'班次明細'!G26&lt;=B157,'班次明細'!H26&gt;=C157),1,0),0)+IF(LEFT('班次明細'!O33,2)="外場",IF(AND('班次明細'!L33&gt;0,'班次明細'!G33&lt;=B157,'班次明細'!H33&gt;=C157),1,0),0)+IF(LEFT('班次明細'!O40,2)="外場",IF(AND('班次明細'!L40&gt;0,'班次明細'!G40&lt;=B157,'班次明細'!H40&gt;=C157),1,0),0)+IF(LEFT('班次明細'!O47,2)="外場",IF(AND('班次明細'!L47&gt;0,'班次明細'!G47&lt;=B157,'班次明細'!H47&gt;=C157),1,0),0)+IF(LEFT('班次明細'!O54,2)="外場",IF(AND('班次明細'!L54&gt;0,'班次明細'!G54&lt;=B157,'班次明細'!H54&gt;=C157),1,0),0)+IF(LEFT('班次明細'!O61,2)="外場",IF(AND('班次明細'!L61&gt;0,'班次明細'!G61&lt;=B157,'班次明細'!H61&gt;=C157),1,0),0)+IF(LEFT('班次明細'!O68,2)="外場",IF(AND('班次明細'!L68&gt;0,'班次明細'!G68&lt;=B157,'班次明細'!H68&gt;=C157),1,0),0)+IF(LEFT('班次明細'!O75,2)="外場",IF(AND('班次明細'!L75&gt;0,'班次明細'!G75&lt;=B157,'班次明細'!H75&gt;=C157),1,0),0)+IF(LEFT('班次明細'!O82,2)="外場",IF(AND('班次明細'!L82&gt;0,'班次明細'!G82&lt;=B157,'班次明細'!H82&gt;=C157),1,0),0))&gt;0,0,1)+IF((IF(LEFT('班次明細'!O12,2)="吧台",IF(AND('班次明細'!L12&gt;0,'班次明細'!G12&lt;=B157,'班次明細'!H12&gt;=C157),1,0),0)+IF(LEFT('班次明細'!O19,2)="吧台",IF(AND('班次明細'!L19&gt;0,'班次明細'!G19&lt;=B157,'班次明細'!H19&gt;=C157),1,0),0)+IF(LEFT('班次明細'!O26,2)="吧台",IF(AND('班次明細'!L26&gt;0,'班次明細'!G26&lt;=B157,'班次明細'!H26&gt;=C157),1,0),0)+IF(LEFT('班次明細'!O33,2)="吧台",IF(AND('班次明細'!L33&gt;0,'班次明細'!G33&lt;=B157,'班次明細'!H33&gt;=C157),1,0),0)+IF(LEFT('班次明細'!O40,2)="吧台",IF(AND('班次明細'!L40&gt;0,'班次明細'!G40&lt;=B157,'班次明細'!H40&gt;=C157),1,0),0)+IF(LEFT('班次明細'!O47,2)="吧台",IF(AND('班次明細'!L47&gt;0,'班次明細'!G47&lt;=B157,'班次明細'!H47&gt;=C157),1,0),0)+IF(LEFT('班次明細'!O54,2)="吧台",IF(AND('班次明細'!L54&gt;0,'班次明細'!G54&lt;=B157,'班次明細'!H54&gt;=C157),1,0),0)+IF(LEFT('班次明細'!O61,2)="吧台",IF(AND('班次明細'!L61&gt;0,'班次明細'!G61&lt;=B157,'班次明細'!H61&gt;=C157),1,0),0)+IF(LEFT('班次明細'!O68,2)="吧台",IF(AND('班次明細'!L68&gt;0,'班次明細'!G68&lt;=B157,'班次明細'!H68&gt;=C157),1,0),0)+IF(LEFT('班次明細'!O75,2)="吧台",IF(AND('班次明細'!L75&gt;0,'班次明細'!G75&lt;=B157,'班次明細'!H75&gt;=C157),1,0),0)+IF(LEFT('班次明細'!O82,2)="吧台",IF(AND('班次明細'!L82&gt;0,'班次明細'!G82&lt;=B157,'班次明細'!H82&gt;=C157),1,0),0))&gt;0,0,1)+IF((IF(LEFT('班次明細'!O12,2)="司爐",IF(AND('班次明細'!L12&gt;0,'班次明細'!G12&lt;=B157,'班次明細'!H12&gt;=C157),1,0),0)+IF(LEFT('班次明細'!O19,2)="司爐",IF(AND('班次明細'!L19&gt;0,'班次明細'!G19&lt;=B157,'班次明細'!H19&gt;=C157),1,0),0)+IF(LEFT('班次明細'!O26,2)="司爐",IF(AND('班次明細'!L26&gt;0,'班次明細'!G26&lt;=B157,'班次明細'!H26&gt;=C157),1,0),0)+IF(LEFT('班次明細'!O33,2)="司爐",IF(AND('班次明細'!L33&gt;0,'班次明細'!G33&lt;=B157,'班次明細'!H33&gt;=C157),1,0),0)+IF(LEFT('班次明細'!O40,2)="司爐",IF(AND('班次明細'!L40&gt;0,'班次明細'!G40&lt;=B157,'班次明細'!H40&gt;=C157),1,0),0)+IF(LEFT('班次明細'!O47,2)="司爐",IF(AND('班次明細'!L47&gt;0,'班次明細'!G47&lt;=B157,'班次明細'!H47&gt;=C157),1,0),0)+IF(LEFT('班次明細'!O54,2)="司爐",IF(AND('班次明細'!L54&gt;0,'班次明細'!G54&lt;=B157,'班次明細'!H54&gt;=C157),1,0),0)+IF(LEFT('班次明細'!O61,2)="司爐",IF(AND('班次明細'!L61&gt;0,'班次明細'!G61&lt;=B157,'班次明細'!H61&gt;=C157),1,0),0)+IF(LEFT('班次明細'!O68,2)="司爐",IF(AND('班次明細'!L68&gt;0,'班次明細'!G68&lt;=B157,'班次明細'!H68&gt;=C157),1,0),0)+IF(LEFT('班次明細'!O75,2)="司爐",IF(AND('班次明細'!L75&gt;0,'班次明細'!G75&lt;=B157,'班次明細'!H75&gt;=C157),1,0),0)+IF(LEFT('班次明細'!O82,2)="司爐",IF(AND('班次明細'!L82&gt;0,'班次明細'!G82&lt;=B157,'班次明細'!H82&gt;=C157),1,0),0))&gt;0,0,1)+IF((IF(LEFT('班次明細'!O12,2)="料區",IF(AND('班次明細'!L12&gt;0,'班次明細'!G12&lt;=B157,'班次明細'!H12&gt;=C157),1,0),0)+IF(LEFT('班次明細'!O19,2)="料區",IF(AND('班次明細'!L19&gt;0,'班次明細'!G19&lt;=B157,'班次明細'!H19&gt;=C157),1,0),0)+IF(LEFT('班次明細'!O26,2)="料區",IF(AND('班次明細'!L26&gt;0,'班次明細'!G26&lt;=B157,'班次明細'!H26&gt;=C157),1,0),0)+IF(LEFT('班次明細'!O33,2)="料區",IF(AND('班次明細'!L33&gt;0,'班次明細'!G33&lt;=B157,'班次明細'!H33&gt;=C157),1,0),0)+IF(LEFT('班次明細'!O40,2)="料區",IF(AND('班次明細'!L40&gt;0,'班次明細'!G40&lt;=B157,'班次明細'!H40&gt;=C157),1,0),0)+IF(LEFT('班次明細'!O47,2)="料區",IF(AND('班次明細'!L47&gt;0,'班次明細'!G47&lt;=B157,'班次明細'!H47&gt;=C157),1,0),0)+IF(LEFT('班次明細'!O54,2)="料區",IF(AND('班次明細'!L54&gt;0,'班次明細'!G54&lt;=B157,'班次明細'!H54&gt;=C157),1,0),0)+IF(LEFT('班次明細'!O61,2)="料區",IF(AND('班次明細'!L61&gt;0,'班次明細'!G61&lt;=B157,'班次明細'!H61&gt;=C157),1,0),0)+IF(LEFT('班次明細'!O68,2)="料區",IF(AND('班次明細'!L68&gt;0,'班次明細'!G68&lt;=B157,'班次明細'!H68&gt;=C157),1,0),0)+IF(LEFT('班次明細'!O75,2)="料區",IF(AND('班次明細'!L75&gt;0,'班次明細'!G75&lt;=B157,'班次明細'!H75&gt;=C157),1,0),0)+IF(LEFT('班次明細'!O82,2)="料區",IF(AND('班次明細'!L82&gt;0,'班次明細'!G82&lt;=B157,'班次明細'!H82&gt;=C157),1,0),0))&gt;0,0,1)+IF((IF(LEFT('班次明細'!O12,2)="炸區",IF(AND('班次明細'!L12&gt;0,'班次明細'!G12&lt;=B157,'班次明細'!H12&gt;=C157),1,0),0)+IF(LEFT('班次明細'!O19,2)="炸區",IF(AND('班次明細'!L19&gt;0,'班次明細'!G19&lt;=B157,'班次明細'!H19&gt;=C157),1,0),0)+IF(LEFT('班次明細'!O26,2)="炸區",IF(AND('班次明細'!L26&gt;0,'班次明細'!G26&lt;=B157,'班次明細'!H26&gt;=C157),1,0),0)+IF(LEFT('班次明細'!O33,2)="炸區",IF(AND('班次明細'!L33&gt;0,'班次明細'!G33&lt;=B157,'班次明細'!H33&gt;=C157),1,0),0)+IF(LEFT('班次明細'!O40,2)="炸區",IF(AND('班次明細'!L40&gt;0,'班次明細'!G40&lt;=B157,'班次明細'!H40&gt;=C157),1,0),0)+IF(LEFT('班次明細'!O47,2)="炸區",IF(AND('班次明細'!L47&gt;0,'班次明細'!G47&lt;=B157,'班次明細'!H47&gt;=C157),1,0),0)+IF(LEFT('班次明細'!O54,2)="炸區",IF(AND('班次明細'!L54&gt;0,'班次明細'!G54&lt;=B157,'班次明細'!H54&gt;=C157),1,0),0)+IF(LEFT('班次明細'!O61,2)="炸區",IF(AND('班次明細'!L61&gt;0,'班次明細'!G61&lt;=B157,'班次明細'!H61&gt;=C157),1,0),0)+IF(LEFT('班次明細'!O68,2)="炸區",IF(AND('班次明細'!L68&gt;0,'班次明細'!G68&lt;=B157,'班次明細'!H68&gt;=C157),1,0),0)+IF(LEFT('班次明細'!O75,2)="炸區",IF(AND('班次明細'!L75&gt;0,'班次明細'!G75&lt;=B157,'班次明細'!H75&gt;=C157),1,0),0)+IF(LEFT('班次明細'!O82,2)="炸區",IF(AND('班次明細'!L82&gt;0,'班次明細'!G82&lt;=B157,'班次明細'!H82&gt;=C157),1,0),0))&gt;0,0,1)+IF((IF(LEFT('班次明細'!O12,2)="拍區",IF(AND('班次明細'!L12&gt;0,'班次明細'!G12&lt;=B157,'班次明細'!H12&gt;=C157),1,0),0)+IF(LEFT('班次明細'!O19,2)="拍區",IF(AND('班次明細'!L19&gt;0,'班次明細'!G19&lt;=B157,'班次明細'!H19&gt;=C157),1,0),0)+IF(LEFT('班次明細'!O26,2)="拍區",IF(AND('班次明細'!L26&gt;0,'班次明細'!G26&lt;=B157,'班次明細'!H26&gt;=C157),1,0),0)+IF(LEFT('班次明細'!O33,2)="拍區",IF(AND('班次明細'!L33&gt;0,'班次明細'!G33&lt;=B157,'班次明細'!H33&gt;=C157),1,0),0)+IF(LEFT('班次明細'!O40,2)="拍區",IF(AND('班次明細'!L40&gt;0,'班次明細'!G40&lt;=B157,'班次明細'!H40&gt;=C157),1,0),0)+IF(LEFT('班次明細'!O47,2)="拍區",IF(AND('班次明細'!L47&gt;0,'班次明細'!G47&lt;=B157,'班次明細'!H47&gt;=C157),1,0),0)+IF(LEFT('班次明細'!O54,2)="拍區",IF(AND('班次明細'!L54&gt;0,'班次明細'!G54&lt;=B157,'班次明細'!H54&gt;=C157),1,0),0)+IF(LEFT('班次明細'!O61,2)="拍區",IF(AND('班次明細'!L61&gt;0,'班次明細'!G61&lt;=B157,'班次明細'!H61&gt;=C157),1,0),0)+IF(LEFT('班次明細'!O68,2)="拍區",IF(AND('班次明細'!L68&gt;0,'班次明細'!G68&lt;=B157,'班次明細'!H68&gt;=C157),1,0),0)+IF(LEFT('班次明細'!O75,2)="拍區",IF(AND('班次明細'!L75&gt;0,'班次明細'!G75&lt;=B157,'班次明細'!H75&gt;=C157),1,0),0)+IF(LEFT('班次明細'!O82,2)="拍區",IF(AND('班次明細'!L82&gt;0,'班次明細'!G82&lt;=B157,'班次明細'!H82&gt;=C157),1,0),0))&gt;0,0,1)+IF(G157&lt;7,0,IF((IF(LEFT('班次明細'!O12,2)="控場",IF(AND('班次明細'!L12&gt;0,'班次明細'!G12&lt;=B157,'班次明細'!H12&gt;=C157),1,0),0)+IF(LEFT('班次明細'!O19,2)="控場",IF(AND('班次明細'!L19&gt;0,'班次明細'!G19&lt;=B157,'班次明細'!H19&gt;=C157),1,0),0)+IF(LEFT('班次明細'!O26,2)="控場",IF(AND('班次明細'!L26&gt;0,'班次明細'!G26&lt;=B157,'班次明細'!H26&gt;=C157),1,0),0)+IF(LEFT('班次明細'!O33,2)="控場",IF(AND('班次明細'!L33&gt;0,'班次明細'!G33&lt;=B157,'班次明細'!H33&gt;=C157),1,0),0)+IF(LEFT('班次明細'!O40,2)="控場",IF(AND('班次明細'!L40&gt;0,'班次明細'!G40&lt;=B157,'班次明細'!H40&gt;=C157),1,0),0)+IF(LEFT('班次明細'!O47,2)="控場",IF(AND('班次明細'!L47&gt;0,'班次明細'!G47&lt;=B157,'班次明細'!H47&gt;=C157),1,0),0)+IF(LEFT('班次明細'!O54,2)="控場",IF(AND('班次明細'!L54&gt;0,'班次明細'!G54&lt;=B157,'班次明細'!H54&gt;=C157),1,0),0)+IF(LEFT('班次明細'!O61,2)="控場",IF(AND('班次明細'!L61&gt;0,'班次明細'!G61&lt;=B157,'班次明細'!H61&gt;=C157),1,0),0)+IF(LEFT('班次明細'!O68,2)="控場",IF(AND('班次明細'!L68&gt;0,'班次明細'!G68&lt;=B157,'班次明細'!H68&gt;=C157),1,0),0)+IF(LEFT('班次明細'!O75,2)="控場",IF(AND('班次明細'!L75&gt;0,'班次明細'!G75&lt;=B157,'班次明細'!H75&gt;=C157),1,0),0)+IF(LEFT('班次明細'!O82,2)="控場",IF(AND('班次明細'!L82&gt;0,'班次明細'!G82&lt;=B157,'班次明細'!H82&gt;=C157),1,0),0))&gt;0,0,1))</x:f>
        <x:v>1</x:v>
      </x:c>
      <x:c r="K157" s="11" t="str">
        <x:v>P02:外場；P03:吧台；P05:控場；P07:外場；P09:司爐；P10:炸區；P11:拍區</x:v>
      </x:c>
      <x:c r="L157" s="11" t="str">
        <x:f>IF(OR(H157&gt;0,I157&gt;0,J157&gt;0),"缺口／超額待處理","主崗齊；休息待現場")</x:f>
        <x:v>缺口／超額待處理</x:v>
      </x:c>
    </x:row>
    <x:row r="158" ht="42" customHeight="1">
      <x:c r="A158" s="12" t="n">
        <x:v>46320</x:v>
      </x:c>
      <x:c r="B158" s="13" t="n">
        <x:v>0.5833333333333334</x:v>
      </x:c>
      <x:c r="C158" s="13" t="n">
        <x:v>0.6041666666666666</x:v>
      </x:c>
      <x:c r="D158" s="2" t="str">
        <x:v>午餐主崗</x:v>
      </x:c>
      <x:c r="E158" s="2" t="n">
        <x:v>6</x:v>
      </x:c>
      <x:c r="F158" s="2" t="n">
        <x:v>7</x:v>
      </x:c>
      <x:c r="G158" s="2" t="n">
        <x:f>IF(AND('班次明細'!L12&gt;0,'班次明細'!G12&lt;=B158,'班次明細'!H12&gt;=C158),1,0)+IF(AND('班次明細'!L19&gt;0,'班次明細'!G19&lt;=B158,'班次明細'!H19&gt;=C158),1,0)+IF(AND('班次明細'!L26&gt;0,'班次明細'!G26&lt;=B158,'班次明細'!H26&gt;=C158),1,0)+IF(AND('班次明細'!L33&gt;0,'班次明細'!G33&lt;=B158,'班次明細'!H33&gt;=C158),1,0)+IF(AND('班次明細'!L40&gt;0,'班次明細'!G40&lt;=B158,'班次明細'!H40&gt;=C158),1,0)+IF(AND('班次明細'!L47&gt;0,'班次明細'!G47&lt;=B158,'班次明細'!H47&gt;=C158),1,0)+IF(AND('班次明細'!L54&gt;0,'班次明細'!G54&lt;=B158,'班次明細'!H54&gt;=C158),1,0)+IF(AND('班次明細'!L61&gt;0,'班次明細'!G61&lt;=B158,'班次明細'!H61&gt;=C158),1,0)+IF(AND('班次明細'!L68&gt;0,'班次明細'!G68&lt;=B158,'班次明細'!H68&gt;=C158),1,0)+IF(AND('班次明細'!L75&gt;0,'班次明細'!G75&lt;=B158,'班次明細'!H75&gt;=C158),1,0)+IF(AND('班次明細'!L82&gt;0,'班次明細'!G82&lt;=B158,'班次明細'!H82&gt;=C158),1,0)</x:f>
        <x:v>7</x:v>
      </x:c>
      <x:c r="H158" s="2" t="n">
        <x:f>MAX(0,E158-G158)</x:f>
        <x:v>0</x:v>
      </x:c>
      <x:c r="I158" s="2" t="n">
        <x:f>IF(F158="",0,MAX(0,G158-F158))</x:f>
        <x:v>0</x:v>
      </x:c>
      <x:c r="J158" s="2" t="n">
        <x:f>IF((IF(LEFT('班次明細'!O12,2)="外場",IF(AND('班次明細'!L12&gt;0,'班次明細'!G12&lt;=B158,'班次明細'!H12&gt;=C158),1,0),0)+IF(LEFT('班次明細'!O19,2)="外場",IF(AND('班次明細'!L19&gt;0,'班次明細'!G19&lt;=B158,'班次明細'!H19&gt;=C158),1,0),0)+IF(LEFT('班次明細'!O26,2)="外場",IF(AND('班次明細'!L26&gt;0,'班次明細'!G26&lt;=B158,'班次明細'!H26&gt;=C158),1,0),0)+IF(LEFT('班次明細'!O33,2)="外場",IF(AND('班次明細'!L33&gt;0,'班次明細'!G33&lt;=B158,'班次明細'!H33&gt;=C158),1,0),0)+IF(LEFT('班次明細'!O40,2)="外場",IF(AND('班次明細'!L40&gt;0,'班次明細'!G40&lt;=B158,'班次明細'!H40&gt;=C158),1,0),0)+IF(LEFT('班次明細'!O47,2)="外場",IF(AND('班次明細'!L47&gt;0,'班次明細'!G47&lt;=B158,'班次明細'!H47&gt;=C158),1,0),0)+IF(LEFT('班次明細'!O54,2)="外場",IF(AND('班次明細'!L54&gt;0,'班次明細'!G54&lt;=B158,'班次明細'!H54&gt;=C158),1,0),0)+IF(LEFT('班次明細'!O61,2)="外場",IF(AND('班次明細'!L61&gt;0,'班次明細'!G61&lt;=B158,'班次明細'!H61&gt;=C158),1,0),0)+IF(LEFT('班次明細'!O68,2)="外場",IF(AND('班次明細'!L68&gt;0,'班次明細'!G68&lt;=B158,'班次明細'!H68&gt;=C158),1,0),0)+IF(LEFT('班次明細'!O75,2)="外場",IF(AND('班次明細'!L75&gt;0,'班次明細'!G75&lt;=B158,'班次明細'!H75&gt;=C158),1,0),0)+IF(LEFT('班次明細'!O82,2)="外場",IF(AND('班次明細'!L82&gt;0,'班次明細'!G82&lt;=B158,'班次明細'!H82&gt;=C158),1,0),0))&gt;0,0,1)+IF((IF(LEFT('班次明細'!O12,2)="吧台",IF(AND('班次明細'!L12&gt;0,'班次明細'!G12&lt;=B158,'班次明細'!H12&gt;=C158),1,0),0)+IF(LEFT('班次明細'!O19,2)="吧台",IF(AND('班次明細'!L19&gt;0,'班次明細'!G19&lt;=B158,'班次明細'!H19&gt;=C158),1,0),0)+IF(LEFT('班次明細'!O26,2)="吧台",IF(AND('班次明細'!L26&gt;0,'班次明細'!G26&lt;=B158,'班次明細'!H26&gt;=C158),1,0),0)+IF(LEFT('班次明細'!O33,2)="吧台",IF(AND('班次明細'!L33&gt;0,'班次明細'!G33&lt;=B158,'班次明細'!H33&gt;=C158),1,0),0)+IF(LEFT('班次明細'!O40,2)="吧台",IF(AND('班次明細'!L40&gt;0,'班次明細'!G40&lt;=B158,'班次明細'!H40&gt;=C158),1,0),0)+IF(LEFT('班次明細'!O47,2)="吧台",IF(AND('班次明細'!L47&gt;0,'班次明細'!G47&lt;=B158,'班次明細'!H47&gt;=C158),1,0),0)+IF(LEFT('班次明細'!O54,2)="吧台",IF(AND('班次明細'!L54&gt;0,'班次明細'!G54&lt;=B158,'班次明細'!H54&gt;=C158),1,0),0)+IF(LEFT('班次明細'!O61,2)="吧台",IF(AND('班次明細'!L61&gt;0,'班次明細'!G61&lt;=B158,'班次明細'!H61&gt;=C158),1,0),0)+IF(LEFT('班次明細'!O68,2)="吧台",IF(AND('班次明細'!L68&gt;0,'班次明細'!G68&lt;=B158,'班次明細'!H68&gt;=C158),1,0),0)+IF(LEFT('班次明細'!O75,2)="吧台",IF(AND('班次明細'!L75&gt;0,'班次明細'!G75&lt;=B158,'班次明細'!H75&gt;=C158),1,0),0)+IF(LEFT('班次明細'!O82,2)="吧台",IF(AND('班次明細'!L82&gt;0,'班次明細'!G82&lt;=B158,'班次明細'!H82&gt;=C158),1,0),0))&gt;0,0,1)+IF((IF(LEFT('班次明細'!O12,2)="司爐",IF(AND('班次明細'!L12&gt;0,'班次明細'!G12&lt;=B158,'班次明細'!H12&gt;=C158),1,0),0)+IF(LEFT('班次明細'!O19,2)="司爐",IF(AND('班次明細'!L19&gt;0,'班次明細'!G19&lt;=B158,'班次明細'!H19&gt;=C158),1,0),0)+IF(LEFT('班次明細'!O26,2)="司爐",IF(AND('班次明細'!L26&gt;0,'班次明細'!G26&lt;=B158,'班次明細'!H26&gt;=C158),1,0),0)+IF(LEFT('班次明細'!O33,2)="司爐",IF(AND('班次明細'!L33&gt;0,'班次明細'!G33&lt;=B158,'班次明細'!H33&gt;=C158),1,0),0)+IF(LEFT('班次明細'!O40,2)="司爐",IF(AND('班次明細'!L40&gt;0,'班次明細'!G40&lt;=B158,'班次明細'!H40&gt;=C158),1,0),0)+IF(LEFT('班次明細'!O47,2)="司爐",IF(AND('班次明細'!L47&gt;0,'班次明細'!G47&lt;=B158,'班次明細'!H47&gt;=C158),1,0),0)+IF(LEFT('班次明細'!O54,2)="司爐",IF(AND('班次明細'!L54&gt;0,'班次明細'!G54&lt;=B158,'班次明細'!H54&gt;=C158),1,0),0)+IF(LEFT('班次明細'!O61,2)="司爐",IF(AND('班次明細'!L61&gt;0,'班次明細'!G61&lt;=B158,'班次明細'!H61&gt;=C158),1,0),0)+IF(LEFT('班次明細'!O68,2)="司爐",IF(AND('班次明細'!L68&gt;0,'班次明細'!G68&lt;=B158,'班次明細'!H68&gt;=C158),1,0),0)+IF(LEFT('班次明細'!O75,2)="司爐",IF(AND('班次明細'!L75&gt;0,'班次明細'!G75&lt;=B158,'班次明細'!H75&gt;=C158),1,0),0)+IF(LEFT('班次明細'!O82,2)="司爐",IF(AND('班次明細'!L82&gt;0,'班次明細'!G82&lt;=B158,'班次明細'!H82&gt;=C158),1,0),0))&gt;0,0,1)+IF((IF(LEFT('班次明細'!O12,2)="料區",IF(AND('班次明細'!L12&gt;0,'班次明細'!G12&lt;=B158,'班次明細'!H12&gt;=C158),1,0),0)+IF(LEFT('班次明細'!O19,2)="料區",IF(AND('班次明細'!L19&gt;0,'班次明細'!G19&lt;=B158,'班次明細'!H19&gt;=C158),1,0),0)+IF(LEFT('班次明細'!O26,2)="料區",IF(AND('班次明細'!L26&gt;0,'班次明細'!G26&lt;=B158,'班次明細'!H26&gt;=C158),1,0),0)+IF(LEFT('班次明細'!O33,2)="料區",IF(AND('班次明細'!L33&gt;0,'班次明細'!G33&lt;=B158,'班次明細'!H33&gt;=C158),1,0),0)+IF(LEFT('班次明細'!O40,2)="料區",IF(AND('班次明細'!L40&gt;0,'班次明細'!G40&lt;=B158,'班次明細'!H40&gt;=C158),1,0),0)+IF(LEFT('班次明細'!O47,2)="料區",IF(AND('班次明細'!L47&gt;0,'班次明細'!G47&lt;=B158,'班次明細'!H47&gt;=C158),1,0),0)+IF(LEFT('班次明細'!O54,2)="料區",IF(AND('班次明細'!L54&gt;0,'班次明細'!G54&lt;=B158,'班次明細'!H54&gt;=C158),1,0),0)+IF(LEFT('班次明細'!O61,2)="料區",IF(AND('班次明細'!L61&gt;0,'班次明細'!G61&lt;=B158,'班次明細'!H61&gt;=C158),1,0),0)+IF(LEFT('班次明細'!O68,2)="料區",IF(AND('班次明細'!L68&gt;0,'班次明細'!G68&lt;=B158,'班次明細'!H68&gt;=C158),1,0),0)+IF(LEFT('班次明細'!O75,2)="料區",IF(AND('班次明細'!L75&gt;0,'班次明細'!G75&lt;=B158,'班次明細'!H75&gt;=C158),1,0),0)+IF(LEFT('班次明細'!O82,2)="料區",IF(AND('班次明細'!L82&gt;0,'班次明細'!G82&lt;=B158,'班次明細'!H82&gt;=C158),1,0),0))&gt;0,0,1)+IF((IF(LEFT('班次明細'!O12,2)="炸區",IF(AND('班次明細'!L12&gt;0,'班次明細'!G12&lt;=B158,'班次明細'!H12&gt;=C158),1,0),0)+IF(LEFT('班次明細'!O19,2)="炸區",IF(AND('班次明細'!L19&gt;0,'班次明細'!G19&lt;=B158,'班次明細'!H19&gt;=C158),1,0),0)+IF(LEFT('班次明細'!O26,2)="炸區",IF(AND('班次明細'!L26&gt;0,'班次明細'!G26&lt;=B158,'班次明細'!H26&gt;=C158),1,0),0)+IF(LEFT('班次明細'!O33,2)="炸區",IF(AND('班次明細'!L33&gt;0,'班次明細'!G33&lt;=B158,'班次明細'!H33&gt;=C158),1,0),0)+IF(LEFT('班次明細'!O40,2)="炸區",IF(AND('班次明細'!L40&gt;0,'班次明細'!G40&lt;=B158,'班次明細'!H40&gt;=C158),1,0),0)+IF(LEFT('班次明細'!O47,2)="炸區",IF(AND('班次明細'!L47&gt;0,'班次明細'!G47&lt;=B158,'班次明細'!H47&gt;=C158),1,0),0)+IF(LEFT('班次明細'!O54,2)="炸區",IF(AND('班次明細'!L54&gt;0,'班次明細'!G54&lt;=B158,'班次明細'!H54&gt;=C158),1,0),0)+IF(LEFT('班次明細'!O61,2)="炸區",IF(AND('班次明細'!L61&gt;0,'班次明細'!G61&lt;=B158,'班次明細'!H61&gt;=C158),1,0),0)+IF(LEFT('班次明細'!O68,2)="炸區",IF(AND('班次明細'!L68&gt;0,'班次明細'!G68&lt;=B158,'班次明細'!H68&gt;=C158),1,0),0)+IF(LEFT('班次明細'!O75,2)="炸區",IF(AND('班次明細'!L75&gt;0,'班次明細'!G75&lt;=B158,'班次明細'!H75&gt;=C158),1,0),0)+IF(LEFT('班次明細'!O82,2)="炸區",IF(AND('班次明細'!L82&gt;0,'班次明細'!G82&lt;=B158,'班次明細'!H82&gt;=C158),1,0),0))&gt;0,0,1)+IF((IF(LEFT('班次明細'!O12,2)="拍區",IF(AND('班次明細'!L12&gt;0,'班次明細'!G12&lt;=B158,'班次明細'!H12&gt;=C158),1,0),0)+IF(LEFT('班次明細'!O19,2)="拍區",IF(AND('班次明細'!L19&gt;0,'班次明細'!G19&lt;=B158,'班次明細'!H19&gt;=C158),1,0),0)+IF(LEFT('班次明細'!O26,2)="拍區",IF(AND('班次明細'!L26&gt;0,'班次明細'!G26&lt;=B158,'班次明細'!H26&gt;=C158),1,0),0)+IF(LEFT('班次明細'!O33,2)="拍區",IF(AND('班次明細'!L33&gt;0,'班次明細'!G33&lt;=B158,'班次明細'!H33&gt;=C158),1,0),0)+IF(LEFT('班次明細'!O40,2)="拍區",IF(AND('班次明細'!L40&gt;0,'班次明細'!G40&lt;=B158,'班次明細'!H40&gt;=C158),1,0),0)+IF(LEFT('班次明細'!O47,2)="拍區",IF(AND('班次明細'!L47&gt;0,'班次明細'!G47&lt;=B158,'班次明細'!H47&gt;=C158),1,0),0)+IF(LEFT('班次明細'!O54,2)="拍區",IF(AND('班次明細'!L54&gt;0,'班次明細'!G54&lt;=B158,'班次明細'!H54&gt;=C158),1,0),0)+IF(LEFT('班次明細'!O61,2)="拍區",IF(AND('班次明細'!L61&gt;0,'班次明細'!G61&lt;=B158,'班次明細'!H61&gt;=C158),1,0),0)+IF(LEFT('班次明細'!O68,2)="拍區",IF(AND('班次明細'!L68&gt;0,'班次明細'!G68&lt;=B158,'班次明細'!H68&gt;=C158),1,0),0)+IF(LEFT('班次明細'!O75,2)="拍區",IF(AND('班次明細'!L75&gt;0,'班次明細'!G75&lt;=B158,'班次明細'!H75&gt;=C158),1,0),0)+IF(LEFT('班次明細'!O82,2)="拍區",IF(AND('班次明細'!L82&gt;0,'班次明細'!G82&lt;=B158,'班次明細'!H82&gt;=C158),1,0),0))&gt;0,0,1)+IF(G158&lt;7,0,IF((IF(LEFT('班次明細'!O12,2)="控場",IF(AND('班次明細'!L12&gt;0,'班次明細'!G12&lt;=B158,'班次明細'!H12&gt;=C158),1,0),0)+IF(LEFT('班次明細'!O19,2)="控場",IF(AND('班次明細'!L19&gt;0,'班次明細'!G19&lt;=B158,'班次明細'!H19&gt;=C158),1,0),0)+IF(LEFT('班次明細'!O26,2)="控場",IF(AND('班次明細'!L26&gt;0,'班次明細'!G26&lt;=B158,'班次明細'!H26&gt;=C158),1,0),0)+IF(LEFT('班次明細'!O33,2)="控場",IF(AND('班次明細'!L33&gt;0,'班次明細'!G33&lt;=B158,'班次明細'!H33&gt;=C158),1,0),0)+IF(LEFT('班次明細'!O40,2)="控場",IF(AND('班次明細'!L40&gt;0,'班次明細'!G40&lt;=B158,'班次明細'!H40&gt;=C158),1,0),0)+IF(LEFT('班次明細'!O47,2)="控場",IF(AND('班次明細'!L47&gt;0,'班次明細'!G47&lt;=B158,'班次明細'!H47&gt;=C158),1,0),0)+IF(LEFT('班次明細'!O54,2)="控場",IF(AND('班次明細'!L54&gt;0,'班次明細'!G54&lt;=B158,'班次明細'!H54&gt;=C158),1,0),0)+IF(LEFT('班次明細'!O61,2)="控場",IF(AND('班次明細'!L61&gt;0,'班次明細'!G61&lt;=B158,'班次明細'!H61&gt;=C158),1,0),0)+IF(LEFT('班次明細'!O68,2)="控場",IF(AND('班次明細'!L68&gt;0,'班次明細'!G68&lt;=B158,'班次明細'!H68&gt;=C158),1,0),0)+IF(LEFT('班次明細'!O75,2)="控場",IF(AND('班次明細'!L75&gt;0,'班次明細'!G75&lt;=B158,'班次明細'!H75&gt;=C158),1,0),0)+IF(LEFT('班次明細'!O82,2)="控場",IF(AND('班次明細'!L82&gt;0,'班次明細'!G82&lt;=B158,'班次明細'!H82&gt;=C158),1,0),0))&gt;0,0,1))</x:f>
        <x:v>1</x:v>
      </x:c>
      <x:c r="K158" s="11" t="str">
        <x:v>P02:外場；P03:吧台；P05:控場；P07:外場；P09:司爐；P10:炸區；P11:拍區</x:v>
      </x:c>
      <x:c r="L158" s="11" t="str">
        <x:f>IF(OR(H158&gt;0,I158&gt;0,J158&gt;0),"缺口／超額待處理","主崗齊；休息待現場")</x:f>
        <x:v>缺口／超額待處理</x:v>
      </x:c>
    </x:row>
    <x:row r="159" ht="42" customHeight="1">
      <x:c r="A159" s="12" t="n">
        <x:v>46320</x:v>
      </x:c>
      <x:c r="B159" s="13" t="n">
        <x:v>0.6041666666666666</x:v>
      </x:c>
      <x:c r="C159" s="13" t="n">
        <x:v>0.625</x:v>
      </x:c>
      <x:c r="D159" s="2" t="str">
        <x:v>營運參考</x:v>
      </x:c>
      <x:c r="E159" s="2" t="n">
        <x:v>0</x:v>
      </x:c>
      <x:c r="F159" s="2"/>
      <x:c r="G159" s="2" t="n">
        <x:f>IF(AND('班次明細'!L12&gt;0,'班次明細'!G12&lt;=B159,'班次明細'!H12&gt;=C159),1,0)+IF(AND('班次明細'!L19&gt;0,'班次明細'!G19&lt;=B159,'班次明細'!H19&gt;=C159),1,0)+IF(AND('班次明細'!L26&gt;0,'班次明細'!G26&lt;=B159,'班次明細'!H26&gt;=C159),1,0)+IF(AND('班次明細'!L33&gt;0,'班次明細'!G33&lt;=B159,'班次明細'!H33&gt;=C159),1,0)+IF(AND('班次明細'!L40&gt;0,'班次明細'!G40&lt;=B159,'班次明細'!H40&gt;=C159),1,0)+IF(AND('班次明細'!L47&gt;0,'班次明細'!G47&lt;=B159,'班次明細'!H47&gt;=C159),1,0)+IF(AND('班次明細'!L54&gt;0,'班次明細'!G54&lt;=B159,'班次明細'!H54&gt;=C159),1,0)+IF(AND('班次明細'!L61&gt;0,'班次明細'!G61&lt;=B159,'班次明細'!H61&gt;=C159),1,0)+IF(AND('班次明細'!L68&gt;0,'班次明細'!G68&lt;=B159,'班次明細'!H68&gt;=C159),1,0)+IF(AND('班次明細'!L75&gt;0,'班次明細'!G75&lt;=B159,'班次明細'!H75&gt;=C159),1,0)+IF(AND('班次明細'!L82&gt;0,'班次明細'!G82&lt;=B159,'班次明細'!H82&gt;=C159),1,0)</x:f>
        <x:v>7</x:v>
      </x:c>
      <x:c r="H159" s="2" t="n">
        <x:f>MAX(0,E159-G159)</x:f>
        <x:v>0</x:v>
      </x:c>
      <x:c r="I159" s="2" t="n">
        <x:f>IF(F159="",0,MAX(0,G159-F159))</x:f>
        <x:v>0</x:v>
      </x:c>
      <x:c r="J159" s="2" t="n">
        <x:v>0</x:v>
      </x:c>
      <x:c r="K159" s="11" t="str">
        <x:v>—</x:v>
      </x:c>
      <x:c r="L159" s="11" t="str">
        <x:f>"營運參考"</x:f>
        <x:v>營運參考</x:v>
      </x:c>
    </x:row>
    <x:row r="160" ht="42" customHeight="1">
      <x:c r="A160" s="12" t="n">
        <x:v>46320</x:v>
      </x:c>
      <x:c r="B160" s="13" t="n">
        <x:v>0.625</x:v>
      </x:c>
      <x:c r="C160" s="13" t="n">
        <x:v>0.6458333333333334</x:v>
      </x:c>
      <x:c r="D160" s="2" t="str">
        <x:v>營運參考</x:v>
      </x:c>
      <x:c r="E160" s="2" t="n">
        <x:v>0</x:v>
      </x:c>
      <x:c r="F160" s="2"/>
      <x:c r="G160" s="2" t="n">
        <x:f>IF(AND('班次明細'!L12&gt;0,'班次明細'!G12&lt;=B160,'班次明細'!H12&gt;=C160),1,0)+IF(AND('班次明細'!L19&gt;0,'班次明細'!G19&lt;=B160,'班次明細'!H19&gt;=C160),1,0)+IF(AND('班次明細'!L26&gt;0,'班次明細'!G26&lt;=B160,'班次明細'!H26&gt;=C160),1,0)+IF(AND('班次明細'!L33&gt;0,'班次明細'!G33&lt;=B160,'班次明細'!H33&gt;=C160),1,0)+IF(AND('班次明細'!L40&gt;0,'班次明細'!G40&lt;=B160,'班次明細'!H40&gt;=C160),1,0)+IF(AND('班次明細'!L47&gt;0,'班次明細'!G47&lt;=B160,'班次明細'!H47&gt;=C160),1,0)+IF(AND('班次明細'!L54&gt;0,'班次明細'!G54&lt;=B160,'班次明細'!H54&gt;=C160),1,0)+IF(AND('班次明細'!L61&gt;0,'班次明細'!G61&lt;=B160,'班次明細'!H61&gt;=C160),1,0)+IF(AND('班次明細'!L68&gt;0,'班次明細'!G68&lt;=B160,'班次明細'!H68&gt;=C160),1,0)+IF(AND('班次明細'!L75&gt;0,'班次明細'!G75&lt;=B160,'班次明細'!H75&gt;=C160),1,0)+IF(AND('班次明細'!L82&gt;0,'班次明細'!G82&lt;=B160,'班次明細'!H82&gt;=C160),1,0)</x:f>
        <x:v>7</x:v>
      </x:c>
      <x:c r="H160" s="2" t="n">
        <x:f>MAX(0,E160-G160)</x:f>
        <x:v>0</x:v>
      </x:c>
      <x:c r="I160" s="2" t="n">
        <x:f>IF(F160="",0,MAX(0,G160-F160))</x:f>
        <x:v>0</x:v>
      </x:c>
      <x:c r="J160" s="2" t="n">
        <x:v>0</x:v>
      </x:c>
      <x:c r="K160" s="11" t="str">
        <x:v>—</x:v>
      </x:c>
      <x:c r="L160" s="11" t="str">
        <x:f>"營運參考"</x:f>
        <x:v>營運參考</x:v>
      </x:c>
    </x:row>
    <x:row r="161" ht="42" customHeight="1">
      <x:c r="A161" s="12" t="n">
        <x:v>46320</x:v>
      </x:c>
      <x:c r="B161" s="13" t="n">
        <x:v>0.6458333333333334</x:v>
      </x:c>
      <x:c r="C161" s="13" t="n">
        <x:v>0.6666666666666666</x:v>
      </x:c>
      <x:c r="D161" s="2" t="str">
        <x:v>營運參考</x:v>
      </x:c>
      <x:c r="E161" s="2" t="n">
        <x:v>0</x:v>
      </x:c>
      <x:c r="F161" s="2"/>
      <x:c r="G161" s="2" t="n">
        <x:f>IF(AND('班次明細'!L12&gt;0,'班次明細'!G12&lt;=B161,'班次明細'!H12&gt;=C161),1,0)+IF(AND('班次明細'!L19&gt;0,'班次明細'!G19&lt;=B161,'班次明細'!H19&gt;=C161),1,0)+IF(AND('班次明細'!L26&gt;0,'班次明細'!G26&lt;=B161,'班次明細'!H26&gt;=C161),1,0)+IF(AND('班次明細'!L33&gt;0,'班次明細'!G33&lt;=B161,'班次明細'!H33&gt;=C161),1,0)+IF(AND('班次明細'!L40&gt;0,'班次明細'!G40&lt;=B161,'班次明細'!H40&gt;=C161),1,0)+IF(AND('班次明細'!L47&gt;0,'班次明細'!G47&lt;=B161,'班次明細'!H47&gt;=C161),1,0)+IF(AND('班次明細'!L54&gt;0,'班次明細'!G54&lt;=B161,'班次明細'!H54&gt;=C161),1,0)+IF(AND('班次明細'!L61&gt;0,'班次明細'!G61&lt;=B161,'班次明細'!H61&gt;=C161),1,0)+IF(AND('班次明細'!L68&gt;0,'班次明細'!G68&lt;=B161,'班次明細'!H68&gt;=C161),1,0)+IF(AND('班次明細'!L75&gt;0,'班次明細'!G75&lt;=B161,'班次明細'!H75&gt;=C161),1,0)+IF(AND('班次明細'!L82&gt;0,'班次明細'!G82&lt;=B161,'班次明細'!H82&gt;=C161),1,0)</x:f>
        <x:v>6</x:v>
      </x:c>
      <x:c r="H161" s="2" t="n">
        <x:f>MAX(0,E161-G161)</x:f>
        <x:v>0</x:v>
      </x:c>
      <x:c r="I161" s="2" t="n">
        <x:f>IF(F161="",0,MAX(0,G161-F161))</x:f>
        <x:v>0</x:v>
      </x:c>
      <x:c r="J161" s="2" t="n">
        <x:v>0</x:v>
      </x:c>
      <x:c r="K161" s="11" t="str">
        <x:v>—</x:v>
      </x:c>
      <x:c r="L161" s="11" t="str">
        <x:f>"營運參考"</x:f>
        <x:v>營運參考</x:v>
      </x:c>
    </x:row>
    <x:row r="162" ht="42" customHeight="1">
      <x:c r="A162" s="12" t="n">
        <x:v>46320</x:v>
      </x:c>
      <x:c r="B162" s="13" t="n">
        <x:v>0.6666666666666666</x:v>
      </x:c>
      <x:c r="C162" s="13" t="n">
        <x:v>0.6875</x:v>
      </x:c>
      <x:c r="D162" s="2" t="str">
        <x:v>營運參考</x:v>
      </x:c>
      <x:c r="E162" s="2" t="n">
        <x:v>0</x:v>
      </x:c>
      <x:c r="F162" s="2"/>
      <x:c r="G162" s="2" t="n">
        <x:f>IF(AND('班次明細'!L12&gt;0,'班次明細'!G12&lt;=B162,'班次明細'!H12&gt;=C162),1,0)+IF(AND('班次明細'!L19&gt;0,'班次明細'!G19&lt;=B162,'班次明細'!H19&gt;=C162),1,0)+IF(AND('班次明細'!L26&gt;0,'班次明細'!G26&lt;=B162,'班次明細'!H26&gt;=C162),1,0)+IF(AND('班次明細'!L33&gt;0,'班次明細'!G33&lt;=B162,'班次明細'!H33&gt;=C162),1,0)+IF(AND('班次明細'!L40&gt;0,'班次明細'!G40&lt;=B162,'班次明細'!H40&gt;=C162),1,0)+IF(AND('班次明細'!L47&gt;0,'班次明細'!G47&lt;=B162,'班次明細'!H47&gt;=C162),1,0)+IF(AND('班次明細'!L54&gt;0,'班次明細'!G54&lt;=B162,'班次明細'!H54&gt;=C162),1,0)+IF(AND('班次明細'!L61&gt;0,'班次明細'!G61&lt;=B162,'班次明細'!H61&gt;=C162),1,0)+IF(AND('班次明細'!L68&gt;0,'班次明細'!G68&lt;=B162,'班次明細'!H68&gt;=C162),1,0)+IF(AND('班次明細'!L75&gt;0,'班次明細'!G75&lt;=B162,'班次明細'!H75&gt;=C162),1,0)+IF(AND('班次明細'!L82&gt;0,'班次明細'!G82&lt;=B162,'班次明細'!H82&gt;=C162),1,0)</x:f>
        <x:v>6</x:v>
      </x:c>
      <x:c r="H162" s="2" t="n">
        <x:f>MAX(0,E162-G162)</x:f>
        <x:v>0</x:v>
      </x:c>
      <x:c r="I162" s="2" t="n">
        <x:f>IF(F162="",0,MAX(0,G162-F162))</x:f>
        <x:v>0</x:v>
      </x:c>
      <x:c r="J162" s="2" t="n">
        <x:v>0</x:v>
      </x:c>
      <x:c r="K162" s="11" t="str">
        <x:v>—</x:v>
      </x:c>
      <x:c r="L162" s="11" t="str">
        <x:f>"營運參考"</x:f>
        <x:v>營運參考</x:v>
      </x:c>
    </x:row>
    <x:row r="163" ht="42" customHeight="1">
      <x:c r="A163" s="12" t="n">
        <x:v>46320</x:v>
      </x:c>
      <x:c r="B163" s="13" t="n">
        <x:v>0.6875</x:v>
      </x:c>
      <x:c r="C163" s="13" t="n">
        <x:v>0.7083333333333334</x:v>
      </x:c>
      <x:c r="D163" s="2" t="str">
        <x:v>營運參考</x:v>
      </x:c>
      <x:c r="E163" s="2" t="n">
        <x:v>0</x:v>
      </x:c>
      <x:c r="F163" s="2"/>
      <x:c r="G163" s="2" t="n">
        <x:f>IF(AND('班次明細'!L12&gt;0,'班次明細'!G12&lt;=B163,'班次明細'!H12&gt;=C163),1,0)+IF(AND('班次明細'!L19&gt;0,'班次明細'!G19&lt;=B163,'班次明細'!H19&gt;=C163),1,0)+IF(AND('班次明細'!L26&gt;0,'班次明細'!G26&lt;=B163,'班次明細'!H26&gt;=C163),1,0)+IF(AND('班次明細'!L33&gt;0,'班次明細'!G33&lt;=B163,'班次明細'!H33&gt;=C163),1,0)+IF(AND('班次明細'!L40&gt;0,'班次明細'!G40&lt;=B163,'班次明細'!H40&gt;=C163),1,0)+IF(AND('班次明細'!L47&gt;0,'班次明細'!G47&lt;=B163,'班次明細'!H47&gt;=C163),1,0)+IF(AND('班次明細'!L54&gt;0,'班次明細'!G54&lt;=B163,'班次明細'!H54&gt;=C163),1,0)+IF(AND('班次明細'!L61&gt;0,'班次明細'!G61&lt;=B163,'班次明細'!H61&gt;=C163),1,0)+IF(AND('班次明細'!L68&gt;0,'班次明細'!G68&lt;=B163,'班次明細'!H68&gt;=C163),1,0)+IF(AND('班次明細'!L75&gt;0,'班次明細'!G75&lt;=B163,'班次明細'!H75&gt;=C163),1,0)+IF(AND('班次明細'!L82&gt;0,'班次明細'!G82&lt;=B163,'班次明細'!H82&gt;=C163),1,0)</x:f>
        <x:v>6</x:v>
      </x:c>
      <x:c r="H163" s="2" t="n">
        <x:f>MAX(0,E163-G163)</x:f>
        <x:v>0</x:v>
      </x:c>
      <x:c r="I163" s="2" t="n">
        <x:f>IF(F163="",0,MAX(0,G163-F163))</x:f>
        <x:v>0</x:v>
      </x:c>
      <x:c r="J163" s="2" t="n">
        <x:v>0</x:v>
      </x:c>
      <x:c r="K163" s="11" t="str">
        <x:v>—</x:v>
      </x:c>
      <x:c r="L163" s="11" t="str">
        <x:f>"營運參考"</x:f>
        <x:v>營運參考</x:v>
      </x:c>
    </x:row>
    <x:row r="164" ht="42" customHeight="1">
      <x:c r="A164" s="12" t="n">
        <x:v>46320</x:v>
      </x:c>
      <x:c r="B164" s="13" t="n">
        <x:v>0.7083333333333334</x:v>
      </x:c>
      <x:c r="C164" s="13" t="n">
        <x:v>0.7291666666666666</x:v>
      </x:c>
      <x:c r="D164" s="2" t="str">
        <x:v>晚餐主崗</x:v>
      </x:c>
      <x:c r="E164" s="2" t="n">
        <x:v>7</x:v>
      </x:c>
      <x:c r="F164" s="2" t="n">
        <x:v>7</x:v>
      </x:c>
      <x:c r="G164" s="2" t="n">
        <x:f>IF(AND('班次明細'!L12&gt;0,'班次明細'!G12&lt;=B164,'班次明細'!H12&gt;=C164),1,0)+IF(AND('班次明細'!L19&gt;0,'班次明細'!G19&lt;=B164,'班次明細'!H19&gt;=C164),1,0)+IF(AND('班次明細'!L26&gt;0,'班次明細'!G26&lt;=B164,'班次明細'!H26&gt;=C164),1,0)+IF(AND('班次明細'!L33&gt;0,'班次明細'!G33&lt;=B164,'班次明細'!H33&gt;=C164),1,0)+IF(AND('班次明細'!L40&gt;0,'班次明細'!G40&lt;=B164,'班次明細'!H40&gt;=C164),1,0)+IF(AND('班次明細'!L47&gt;0,'班次明細'!G47&lt;=B164,'班次明細'!H47&gt;=C164),1,0)+IF(AND('班次明細'!L54&gt;0,'班次明細'!G54&lt;=B164,'班次明細'!H54&gt;=C164),1,0)+IF(AND('班次明細'!L61&gt;0,'班次明細'!G61&lt;=B164,'班次明細'!H61&gt;=C164),1,0)+IF(AND('班次明細'!L68&gt;0,'班次明細'!G68&lt;=B164,'班次明細'!H68&gt;=C164),1,0)+IF(AND('班次明細'!L75&gt;0,'班次明細'!G75&lt;=B164,'班次明細'!H75&gt;=C164),1,0)+IF(AND('班次明細'!L82&gt;0,'班次明細'!G82&lt;=B164,'班次明細'!H82&gt;=C164),1,0)</x:f>
        <x:v>6</x:v>
      </x:c>
      <x:c r="H164" s="2" t="n">
        <x:f>MAX(0,E164-G164)</x:f>
        <x:v>1</x:v>
      </x:c>
      <x:c r="I164" s="2" t="n">
        <x:f>IF(F164="",0,MAX(0,G164-F164))</x:f>
        <x:v>0</x:v>
      </x:c>
      <x:c r="J164" s="2" t="n">
        <x:f>IF((IF(RIGHT('班次明細'!O12,2)="外場",IF(AND('班次明細'!L12&gt;0,'班次明細'!G12&lt;=B164,'班次明細'!H12&gt;=C164),1,0),0)+IF(RIGHT('班次明細'!O19,2)="外場",IF(AND('班次明細'!L19&gt;0,'班次明細'!G19&lt;=B164,'班次明細'!H19&gt;=C164),1,0),0)+IF(RIGHT('班次明細'!O26,2)="外場",IF(AND('班次明細'!L26&gt;0,'班次明細'!G26&lt;=B164,'班次明細'!H26&gt;=C164),1,0),0)+IF(RIGHT('班次明細'!O33,2)="外場",IF(AND('班次明細'!L33&gt;0,'班次明細'!G33&lt;=B164,'班次明細'!H33&gt;=C164),1,0),0)+IF(RIGHT('班次明細'!O40,2)="外場",IF(AND('班次明細'!L40&gt;0,'班次明細'!G40&lt;=B164,'班次明細'!H40&gt;=C164),1,0),0)+IF(RIGHT('班次明細'!O47,2)="外場",IF(AND('班次明細'!L47&gt;0,'班次明細'!G47&lt;=B164,'班次明細'!H47&gt;=C164),1,0),0)+IF(RIGHT('班次明細'!O54,2)="外場",IF(AND('班次明細'!L54&gt;0,'班次明細'!G54&lt;=B164,'班次明細'!H54&gt;=C164),1,0),0)+IF(RIGHT('班次明細'!O61,2)="外場",IF(AND('班次明細'!L61&gt;0,'班次明細'!G61&lt;=B164,'班次明細'!H61&gt;=C164),1,0),0)+IF(RIGHT('班次明細'!O68,2)="外場",IF(AND('班次明細'!L68&gt;0,'班次明細'!G68&lt;=B164,'班次明細'!H68&gt;=C164),1,0),0)+IF(RIGHT('班次明細'!O75,2)="外場",IF(AND('班次明細'!L75&gt;0,'班次明細'!G75&lt;=B164,'班次明細'!H75&gt;=C164),1,0),0)+IF(RIGHT('班次明細'!O82,2)="外場",IF(AND('班次明細'!L82&gt;0,'班次明細'!G82&lt;=B164,'班次明細'!H82&gt;=C164),1,0),0))&gt;0,0,1)+IF((IF(RIGHT('班次明細'!O12,2)="吧台",IF(AND('班次明細'!L12&gt;0,'班次明細'!G12&lt;=B164,'班次明細'!H12&gt;=C164),1,0),0)+IF(RIGHT('班次明細'!O19,2)="吧台",IF(AND('班次明細'!L19&gt;0,'班次明細'!G19&lt;=B164,'班次明細'!H19&gt;=C164),1,0),0)+IF(RIGHT('班次明細'!O26,2)="吧台",IF(AND('班次明細'!L26&gt;0,'班次明細'!G26&lt;=B164,'班次明細'!H26&gt;=C164),1,0),0)+IF(RIGHT('班次明細'!O33,2)="吧台",IF(AND('班次明細'!L33&gt;0,'班次明細'!G33&lt;=B164,'班次明細'!H33&gt;=C164),1,0),0)+IF(RIGHT('班次明細'!O40,2)="吧台",IF(AND('班次明細'!L40&gt;0,'班次明細'!G40&lt;=B164,'班次明細'!H40&gt;=C164),1,0),0)+IF(RIGHT('班次明細'!O47,2)="吧台",IF(AND('班次明細'!L47&gt;0,'班次明細'!G47&lt;=B164,'班次明細'!H47&gt;=C164),1,0),0)+IF(RIGHT('班次明細'!O54,2)="吧台",IF(AND('班次明細'!L54&gt;0,'班次明細'!G54&lt;=B164,'班次明細'!H54&gt;=C164),1,0),0)+IF(RIGHT('班次明細'!O61,2)="吧台",IF(AND('班次明細'!L61&gt;0,'班次明細'!G61&lt;=B164,'班次明細'!H61&gt;=C164),1,0),0)+IF(RIGHT('班次明細'!O68,2)="吧台",IF(AND('班次明細'!L68&gt;0,'班次明細'!G68&lt;=B164,'班次明細'!H68&gt;=C164),1,0),0)+IF(RIGHT('班次明細'!O75,2)="吧台",IF(AND('班次明細'!L75&gt;0,'班次明細'!G75&lt;=B164,'班次明細'!H75&gt;=C164),1,0),0)+IF(RIGHT('班次明細'!O82,2)="吧台",IF(AND('班次明細'!L82&gt;0,'班次明細'!G82&lt;=B164,'班次明細'!H82&gt;=C164),1,0),0))&gt;0,0,1)+IF((IF(RIGHT('班次明細'!O12,2)="司爐",IF(AND('班次明細'!L12&gt;0,'班次明細'!G12&lt;=B164,'班次明細'!H12&gt;=C164),1,0),0)+IF(RIGHT('班次明細'!O19,2)="司爐",IF(AND('班次明細'!L19&gt;0,'班次明細'!G19&lt;=B164,'班次明細'!H19&gt;=C164),1,0),0)+IF(RIGHT('班次明細'!O26,2)="司爐",IF(AND('班次明細'!L26&gt;0,'班次明細'!G26&lt;=B164,'班次明細'!H26&gt;=C164),1,0),0)+IF(RIGHT('班次明細'!O33,2)="司爐",IF(AND('班次明細'!L33&gt;0,'班次明細'!G33&lt;=B164,'班次明細'!H33&gt;=C164),1,0),0)+IF(RIGHT('班次明細'!O40,2)="司爐",IF(AND('班次明細'!L40&gt;0,'班次明細'!G40&lt;=B164,'班次明細'!H40&gt;=C164),1,0),0)+IF(RIGHT('班次明細'!O47,2)="司爐",IF(AND('班次明細'!L47&gt;0,'班次明細'!G47&lt;=B164,'班次明細'!H47&gt;=C164),1,0),0)+IF(RIGHT('班次明細'!O54,2)="司爐",IF(AND('班次明細'!L54&gt;0,'班次明細'!G54&lt;=B164,'班次明細'!H54&gt;=C164),1,0),0)+IF(RIGHT('班次明細'!O61,2)="司爐",IF(AND('班次明細'!L61&gt;0,'班次明細'!G61&lt;=B164,'班次明細'!H61&gt;=C164),1,0),0)+IF(RIGHT('班次明細'!O68,2)="司爐",IF(AND('班次明細'!L68&gt;0,'班次明細'!G68&lt;=B164,'班次明細'!H68&gt;=C164),1,0),0)+IF(RIGHT('班次明細'!O75,2)="司爐",IF(AND('班次明細'!L75&gt;0,'班次明細'!G75&lt;=B164,'班次明細'!H75&gt;=C164),1,0),0)+IF(RIGHT('班次明細'!O82,2)="司爐",IF(AND('班次明細'!L82&gt;0,'班次明細'!G82&lt;=B164,'班次明細'!H82&gt;=C164),1,0),0))&gt;0,0,1)+IF((IF(RIGHT('班次明細'!O12,2)="料區",IF(AND('班次明細'!L12&gt;0,'班次明細'!G12&lt;=B164,'班次明細'!H12&gt;=C164),1,0),0)+IF(RIGHT('班次明細'!O19,2)="料區",IF(AND('班次明細'!L19&gt;0,'班次明細'!G19&lt;=B164,'班次明細'!H19&gt;=C164),1,0),0)+IF(RIGHT('班次明細'!O26,2)="料區",IF(AND('班次明細'!L26&gt;0,'班次明細'!G26&lt;=B164,'班次明細'!H26&gt;=C164),1,0),0)+IF(RIGHT('班次明細'!O33,2)="料區",IF(AND('班次明細'!L33&gt;0,'班次明細'!G33&lt;=B164,'班次明細'!H33&gt;=C164),1,0),0)+IF(RIGHT('班次明細'!O40,2)="料區",IF(AND('班次明細'!L40&gt;0,'班次明細'!G40&lt;=B164,'班次明細'!H40&gt;=C164),1,0),0)+IF(RIGHT('班次明細'!O47,2)="料區",IF(AND('班次明細'!L47&gt;0,'班次明細'!G47&lt;=B164,'班次明細'!H47&gt;=C164),1,0),0)+IF(RIGHT('班次明細'!O54,2)="料區",IF(AND('班次明細'!L54&gt;0,'班次明細'!G54&lt;=B164,'班次明細'!H54&gt;=C164),1,0),0)+IF(RIGHT('班次明細'!O61,2)="料區",IF(AND('班次明細'!L61&gt;0,'班次明細'!G61&lt;=B164,'班次明細'!H61&gt;=C164),1,0),0)+IF(RIGHT('班次明細'!O68,2)="料區",IF(AND('班次明細'!L68&gt;0,'班次明細'!G68&lt;=B164,'班次明細'!H68&gt;=C164),1,0),0)+IF(RIGHT('班次明細'!O75,2)="料區",IF(AND('班次明細'!L75&gt;0,'班次明細'!G75&lt;=B164,'班次明細'!H75&gt;=C164),1,0),0)+IF(RIGHT('班次明細'!O82,2)="料區",IF(AND('班次明細'!L82&gt;0,'班次明細'!G82&lt;=B164,'班次明細'!H82&gt;=C164),1,0),0))&gt;0,0,1)+IF((IF(RIGHT('班次明細'!O12,2)="炸區",IF(AND('班次明細'!L12&gt;0,'班次明細'!G12&lt;=B164,'班次明細'!H12&gt;=C164),1,0),0)+IF(RIGHT('班次明細'!O19,2)="炸區",IF(AND('班次明細'!L19&gt;0,'班次明細'!G19&lt;=B164,'班次明細'!H19&gt;=C164),1,0),0)+IF(RIGHT('班次明細'!O26,2)="炸區",IF(AND('班次明細'!L26&gt;0,'班次明細'!G26&lt;=B164,'班次明細'!H26&gt;=C164),1,0),0)+IF(RIGHT('班次明細'!O33,2)="炸區",IF(AND('班次明細'!L33&gt;0,'班次明細'!G33&lt;=B164,'班次明細'!H33&gt;=C164),1,0),0)+IF(RIGHT('班次明細'!O40,2)="炸區",IF(AND('班次明細'!L40&gt;0,'班次明細'!G40&lt;=B164,'班次明細'!H40&gt;=C164),1,0),0)+IF(RIGHT('班次明細'!O47,2)="炸區",IF(AND('班次明細'!L47&gt;0,'班次明細'!G47&lt;=B164,'班次明細'!H47&gt;=C164),1,0),0)+IF(RIGHT('班次明細'!O54,2)="炸區",IF(AND('班次明細'!L54&gt;0,'班次明細'!G54&lt;=B164,'班次明細'!H54&gt;=C164),1,0),0)+IF(RIGHT('班次明細'!O61,2)="炸區",IF(AND('班次明細'!L61&gt;0,'班次明細'!G61&lt;=B164,'班次明細'!H61&gt;=C164),1,0),0)+IF(RIGHT('班次明細'!O68,2)="炸區",IF(AND('班次明細'!L68&gt;0,'班次明細'!G68&lt;=B164,'班次明細'!H68&gt;=C164),1,0),0)+IF(RIGHT('班次明細'!O75,2)="炸區",IF(AND('班次明細'!L75&gt;0,'班次明細'!G75&lt;=B164,'班次明細'!H75&gt;=C164),1,0),0)+IF(RIGHT('班次明細'!O82,2)="炸區",IF(AND('班次明細'!L82&gt;0,'班次明細'!G82&lt;=B164,'班次明細'!H82&gt;=C164),1,0),0))&gt;0,0,1)+IF((IF(RIGHT('班次明細'!O12,2)="拍區",IF(AND('班次明細'!L12&gt;0,'班次明細'!G12&lt;=B164,'班次明細'!H12&gt;=C164),1,0),0)+IF(RIGHT('班次明細'!O19,2)="拍區",IF(AND('班次明細'!L19&gt;0,'班次明細'!G19&lt;=B164,'班次明細'!H19&gt;=C164),1,0),0)+IF(RIGHT('班次明細'!O26,2)="拍區",IF(AND('班次明細'!L26&gt;0,'班次明細'!G26&lt;=B164,'班次明細'!H26&gt;=C164),1,0),0)+IF(RIGHT('班次明細'!O33,2)="拍區",IF(AND('班次明細'!L33&gt;0,'班次明細'!G33&lt;=B164,'班次明細'!H33&gt;=C164),1,0),0)+IF(RIGHT('班次明細'!O40,2)="拍區",IF(AND('班次明細'!L40&gt;0,'班次明細'!G40&lt;=B164,'班次明細'!H40&gt;=C164),1,0),0)+IF(RIGHT('班次明細'!O47,2)="拍區",IF(AND('班次明細'!L47&gt;0,'班次明細'!G47&lt;=B164,'班次明細'!H47&gt;=C164),1,0),0)+IF(RIGHT('班次明細'!O54,2)="拍區",IF(AND('班次明細'!L54&gt;0,'班次明細'!G54&lt;=B164,'班次明細'!H54&gt;=C164),1,0),0)+IF(RIGHT('班次明細'!O61,2)="拍區",IF(AND('班次明細'!L61&gt;0,'班次明細'!G61&lt;=B164,'班次明細'!H61&gt;=C164),1,0),0)+IF(RIGHT('班次明細'!O68,2)="拍區",IF(AND('班次明細'!L68&gt;0,'班次明細'!G68&lt;=B164,'班次明細'!H68&gt;=C164),1,0),0)+IF(RIGHT('班次明細'!O75,2)="拍區",IF(AND('班次明細'!L75&gt;0,'班次明細'!G75&lt;=B164,'班次明細'!H75&gt;=C164),1,0),0)+IF(RIGHT('班次明細'!O82,2)="拍區",IF(AND('班次明細'!L82&gt;0,'班次明細'!G82&lt;=B164,'班次明細'!H82&gt;=C164),1,0),0))&gt;0,0,1)+IF((IF(RIGHT('班次明細'!O12,2)="控場",IF(AND('班次明細'!L12&gt;0,'班次明細'!G12&lt;=B164,'班次明細'!H12&gt;=C164),1,0),0)+IF(RIGHT('班次明細'!O19,2)="控場",IF(AND('班次明細'!L19&gt;0,'班次明細'!G19&lt;=B164,'班次明細'!H19&gt;=C164),1,0),0)+IF(RIGHT('班次明細'!O26,2)="控場",IF(AND('班次明細'!L26&gt;0,'班次明細'!G26&lt;=B164,'班次明細'!H26&gt;=C164),1,0),0)+IF(RIGHT('班次明細'!O33,2)="控場",IF(AND('班次明細'!L33&gt;0,'班次明細'!G33&lt;=B164,'班次明細'!H33&gt;=C164),1,0),0)+IF(RIGHT('班次明細'!O40,2)="控場",IF(AND('班次明細'!L40&gt;0,'班次明細'!G40&lt;=B164,'班次明細'!H40&gt;=C164),1,0),0)+IF(RIGHT('班次明細'!O47,2)="控場",IF(AND('班次明細'!L47&gt;0,'班次明細'!G47&lt;=B164,'班次明細'!H47&gt;=C164),1,0),0)+IF(RIGHT('班次明細'!O54,2)="控場",IF(AND('班次明細'!L54&gt;0,'班次明細'!G54&lt;=B164,'班次明細'!H54&gt;=C164),1,0),0)+IF(RIGHT('班次明細'!O61,2)="控場",IF(AND('班次明細'!L61&gt;0,'班次明細'!G61&lt;=B164,'班次明細'!H61&gt;=C164),1,0),0)+IF(RIGHT('班次明細'!O68,2)="控場",IF(AND('班次明細'!L68&gt;0,'班次明細'!G68&lt;=B164,'班次明細'!H68&gt;=C164),1,0),0)+IF(RIGHT('班次明細'!O75,2)="控場",IF(AND('班次明細'!L75&gt;0,'班次明細'!G75&lt;=B164,'班次明細'!H75&gt;=C164),1,0),0)+IF(RIGHT('班次明細'!O82,2)="控場",IF(AND('班次明細'!L82&gt;0,'班次明細'!G82&lt;=B164,'班次明細'!H82&gt;=C164),1,0),0))&gt;0,0,1)</x:f>
        <x:v>2</x:v>
      </x:c>
      <x:c r="K164" s="11" t="str">
        <x:v>P02:外場；P03:吧台；P05:炸區；P07:外場；P09:司爐；P10:拍區</x:v>
      </x:c>
      <x:c r="L164" s="11" t="str">
        <x:f>IF(OR(H164&gt;0,I164&gt;0,J164&gt;0),"缺口／超額待處理","主崗齊；休息待現場")</x:f>
        <x:v>缺口／超額待處理</x:v>
      </x:c>
    </x:row>
    <x:row r="165" ht="42" customHeight="1">
      <x:c r="A165" s="12" t="n">
        <x:v>46320</x:v>
      </x:c>
      <x:c r="B165" s="13" t="n">
        <x:v>0.7291666666666666</x:v>
      </x:c>
      <x:c r="C165" s="13" t="n">
        <x:v>0.75</x:v>
      </x:c>
      <x:c r="D165" s="2" t="str">
        <x:v>晚餐主崗</x:v>
      </x:c>
      <x:c r="E165" s="2" t="n">
        <x:v>7</x:v>
      </x:c>
      <x:c r="F165" s="2" t="n">
        <x:v>7</x:v>
      </x:c>
      <x:c r="G165" s="2" t="n">
        <x:f>IF(AND('班次明細'!L12&gt;0,'班次明細'!G12&lt;=B165,'班次明細'!H12&gt;=C165),1,0)+IF(AND('班次明細'!L19&gt;0,'班次明細'!G19&lt;=B165,'班次明細'!H19&gt;=C165),1,0)+IF(AND('班次明細'!L26&gt;0,'班次明細'!G26&lt;=B165,'班次明細'!H26&gt;=C165),1,0)+IF(AND('班次明細'!L33&gt;0,'班次明細'!G33&lt;=B165,'班次明細'!H33&gt;=C165),1,0)+IF(AND('班次明細'!L40&gt;0,'班次明細'!G40&lt;=B165,'班次明細'!H40&gt;=C165),1,0)+IF(AND('班次明細'!L47&gt;0,'班次明細'!G47&lt;=B165,'班次明細'!H47&gt;=C165),1,0)+IF(AND('班次明細'!L54&gt;0,'班次明細'!G54&lt;=B165,'班次明細'!H54&gt;=C165),1,0)+IF(AND('班次明細'!L61&gt;0,'班次明細'!G61&lt;=B165,'班次明細'!H61&gt;=C165),1,0)+IF(AND('班次明細'!L68&gt;0,'班次明細'!G68&lt;=B165,'班次明細'!H68&gt;=C165),1,0)+IF(AND('班次明細'!L75&gt;0,'班次明細'!G75&lt;=B165,'班次明細'!H75&gt;=C165),1,0)+IF(AND('班次明細'!L82&gt;0,'班次明細'!G82&lt;=B165,'班次明細'!H82&gt;=C165),1,0)</x:f>
        <x:v>6</x:v>
      </x:c>
      <x:c r="H165" s="2" t="n">
        <x:f>MAX(0,E165-G165)</x:f>
        <x:v>1</x:v>
      </x:c>
      <x:c r="I165" s="2" t="n">
        <x:f>IF(F165="",0,MAX(0,G165-F165))</x:f>
        <x:v>0</x:v>
      </x:c>
      <x:c r="J165" s="2" t="n">
        <x:f>IF((IF(RIGHT('班次明細'!O12,2)="外場",IF(AND('班次明細'!L12&gt;0,'班次明細'!G12&lt;=B165,'班次明細'!H12&gt;=C165),1,0),0)+IF(RIGHT('班次明細'!O19,2)="外場",IF(AND('班次明細'!L19&gt;0,'班次明細'!G19&lt;=B165,'班次明細'!H19&gt;=C165),1,0),0)+IF(RIGHT('班次明細'!O26,2)="外場",IF(AND('班次明細'!L26&gt;0,'班次明細'!G26&lt;=B165,'班次明細'!H26&gt;=C165),1,0),0)+IF(RIGHT('班次明細'!O33,2)="外場",IF(AND('班次明細'!L33&gt;0,'班次明細'!G33&lt;=B165,'班次明細'!H33&gt;=C165),1,0),0)+IF(RIGHT('班次明細'!O40,2)="外場",IF(AND('班次明細'!L40&gt;0,'班次明細'!G40&lt;=B165,'班次明細'!H40&gt;=C165),1,0),0)+IF(RIGHT('班次明細'!O47,2)="外場",IF(AND('班次明細'!L47&gt;0,'班次明細'!G47&lt;=B165,'班次明細'!H47&gt;=C165),1,0),0)+IF(RIGHT('班次明細'!O54,2)="外場",IF(AND('班次明細'!L54&gt;0,'班次明細'!G54&lt;=B165,'班次明細'!H54&gt;=C165),1,0),0)+IF(RIGHT('班次明細'!O61,2)="外場",IF(AND('班次明細'!L61&gt;0,'班次明細'!G61&lt;=B165,'班次明細'!H61&gt;=C165),1,0),0)+IF(RIGHT('班次明細'!O68,2)="外場",IF(AND('班次明細'!L68&gt;0,'班次明細'!G68&lt;=B165,'班次明細'!H68&gt;=C165),1,0),0)+IF(RIGHT('班次明細'!O75,2)="外場",IF(AND('班次明細'!L75&gt;0,'班次明細'!G75&lt;=B165,'班次明細'!H75&gt;=C165),1,0),0)+IF(RIGHT('班次明細'!O82,2)="外場",IF(AND('班次明細'!L82&gt;0,'班次明細'!G82&lt;=B165,'班次明細'!H82&gt;=C165),1,0),0))&gt;0,0,1)+IF((IF(RIGHT('班次明細'!O12,2)="吧台",IF(AND('班次明細'!L12&gt;0,'班次明細'!G12&lt;=B165,'班次明細'!H12&gt;=C165),1,0),0)+IF(RIGHT('班次明細'!O19,2)="吧台",IF(AND('班次明細'!L19&gt;0,'班次明細'!G19&lt;=B165,'班次明細'!H19&gt;=C165),1,0),0)+IF(RIGHT('班次明細'!O26,2)="吧台",IF(AND('班次明細'!L26&gt;0,'班次明細'!G26&lt;=B165,'班次明細'!H26&gt;=C165),1,0),0)+IF(RIGHT('班次明細'!O33,2)="吧台",IF(AND('班次明細'!L33&gt;0,'班次明細'!G33&lt;=B165,'班次明細'!H33&gt;=C165),1,0),0)+IF(RIGHT('班次明細'!O40,2)="吧台",IF(AND('班次明細'!L40&gt;0,'班次明細'!G40&lt;=B165,'班次明細'!H40&gt;=C165),1,0),0)+IF(RIGHT('班次明細'!O47,2)="吧台",IF(AND('班次明細'!L47&gt;0,'班次明細'!G47&lt;=B165,'班次明細'!H47&gt;=C165),1,0),0)+IF(RIGHT('班次明細'!O54,2)="吧台",IF(AND('班次明細'!L54&gt;0,'班次明細'!G54&lt;=B165,'班次明細'!H54&gt;=C165),1,0),0)+IF(RIGHT('班次明細'!O61,2)="吧台",IF(AND('班次明細'!L61&gt;0,'班次明細'!G61&lt;=B165,'班次明細'!H61&gt;=C165),1,0),0)+IF(RIGHT('班次明細'!O68,2)="吧台",IF(AND('班次明細'!L68&gt;0,'班次明細'!G68&lt;=B165,'班次明細'!H68&gt;=C165),1,0),0)+IF(RIGHT('班次明細'!O75,2)="吧台",IF(AND('班次明細'!L75&gt;0,'班次明細'!G75&lt;=B165,'班次明細'!H75&gt;=C165),1,0),0)+IF(RIGHT('班次明細'!O82,2)="吧台",IF(AND('班次明細'!L82&gt;0,'班次明細'!G82&lt;=B165,'班次明細'!H82&gt;=C165),1,0),0))&gt;0,0,1)+IF((IF(RIGHT('班次明細'!O12,2)="司爐",IF(AND('班次明細'!L12&gt;0,'班次明細'!G12&lt;=B165,'班次明細'!H12&gt;=C165),1,0),0)+IF(RIGHT('班次明細'!O19,2)="司爐",IF(AND('班次明細'!L19&gt;0,'班次明細'!G19&lt;=B165,'班次明細'!H19&gt;=C165),1,0),0)+IF(RIGHT('班次明細'!O26,2)="司爐",IF(AND('班次明細'!L26&gt;0,'班次明細'!G26&lt;=B165,'班次明細'!H26&gt;=C165),1,0),0)+IF(RIGHT('班次明細'!O33,2)="司爐",IF(AND('班次明細'!L33&gt;0,'班次明細'!G33&lt;=B165,'班次明細'!H33&gt;=C165),1,0),0)+IF(RIGHT('班次明細'!O40,2)="司爐",IF(AND('班次明細'!L40&gt;0,'班次明細'!G40&lt;=B165,'班次明細'!H40&gt;=C165),1,0),0)+IF(RIGHT('班次明細'!O47,2)="司爐",IF(AND('班次明細'!L47&gt;0,'班次明細'!G47&lt;=B165,'班次明細'!H47&gt;=C165),1,0),0)+IF(RIGHT('班次明細'!O54,2)="司爐",IF(AND('班次明細'!L54&gt;0,'班次明細'!G54&lt;=B165,'班次明細'!H54&gt;=C165),1,0),0)+IF(RIGHT('班次明細'!O61,2)="司爐",IF(AND('班次明細'!L61&gt;0,'班次明細'!G61&lt;=B165,'班次明細'!H61&gt;=C165),1,0),0)+IF(RIGHT('班次明細'!O68,2)="司爐",IF(AND('班次明細'!L68&gt;0,'班次明細'!G68&lt;=B165,'班次明細'!H68&gt;=C165),1,0),0)+IF(RIGHT('班次明細'!O75,2)="司爐",IF(AND('班次明細'!L75&gt;0,'班次明細'!G75&lt;=B165,'班次明細'!H75&gt;=C165),1,0),0)+IF(RIGHT('班次明細'!O82,2)="司爐",IF(AND('班次明細'!L82&gt;0,'班次明細'!G82&lt;=B165,'班次明細'!H82&gt;=C165),1,0),0))&gt;0,0,1)+IF((IF(RIGHT('班次明細'!O12,2)="料區",IF(AND('班次明細'!L12&gt;0,'班次明細'!G12&lt;=B165,'班次明細'!H12&gt;=C165),1,0),0)+IF(RIGHT('班次明細'!O19,2)="料區",IF(AND('班次明細'!L19&gt;0,'班次明細'!G19&lt;=B165,'班次明細'!H19&gt;=C165),1,0),0)+IF(RIGHT('班次明細'!O26,2)="料區",IF(AND('班次明細'!L26&gt;0,'班次明細'!G26&lt;=B165,'班次明細'!H26&gt;=C165),1,0),0)+IF(RIGHT('班次明細'!O33,2)="料區",IF(AND('班次明細'!L33&gt;0,'班次明細'!G33&lt;=B165,'班次明細'!H33&gt;=C165),1,0),0)+IF(RIGHT('班次明細'!O40,2)="料區",IF(AND('班次明細'!L40&gt;0,'班次明細'!G40&lt;=B165,'班次明細'!H40&gt;=C165),1,0),0)+IF(RIGHT('班次明細'!O47,2)="料區",IF(AND('班次明細'!L47&gt;0,'班次明細'!G47&lt;=B165,'班次明細'!H47&gt;=C165),1,0),0)+IF(RIGHT('班次明細'!O54,2)="料區",IF(AND('班次明細'!L54&gt;0,'班次明細'!G54&lt;=B165,'班次明細'!H54&gt;=C165),1,0),0)+IF(RIGHT('班次明細'!O61,2)="料區",IF(AND('班次明細'!L61&gt;0,'班次明細'!G61&lt;=B165,'班次明細'!H61&gt;=C165),1,0),0)+IF(RIGHT('班次明細'!O68,2)="料區",IF(AND('班次明細'!L68&gt;0,'班次明細'!G68&lt;=B165,'班次明細'!H68&gt;=C165),1,0),0)+IF(RIGHT('班次明細'!O75,2)="料區",IF(AND('班次明細'!L75&gt;0,'班次明細'!G75&lt;=B165,'班次明細'!H75&gt;=C165),1,0),0)+IF(RIGHT('班次明細'!O82,2)="料區",IF(AND('班次明細'!L82&gt;0,'班次明細'!G82&lt;=B165,'班次明細'!H82&gt;=C165),1,0),0))&gt;0,0,1)+IF((IF(RIGHT('班次明細'!O12,2)="炸區",IF(AND('班次明細'!L12&gt;0,'班次明細'!G12&lt;=B165,'班次明細'!H12&gt;=C165),1,0),0)+IF(RIGHT('班次明細'!O19,2)="炸區",IF(AND('班次明細'!L19&gt;0,'班次明細'!G19&lt;=B165,'班次明細'!H19&gt;=C165),1,0),0)+IF(RIGHT('班次明細'!O26,2)="炸區",IF(AND('班次明細'!L26&gt;0,'班次明細'!G26&lt;=B165,'班次明細'!H26&gt;=C165),1,0),0)+IF(RIGHT('班次明細'!O33,2)="炸區",IF(AND('班次明細'!L33&gt;0,'班次明細'!G33&lt;=B165,'班次明細'!H33&gt;=C165),1,0),0)+IF(RIGHT('班次明細'!O40,2)="炸區",IF(AND('班次明細'!L40&gt;0,'班次明細'!G40&lt;=B165,'班次明細'!H40&gt;=C165),1,0),0)+IF(RIGHT('班次明細'!O47,2)="炸區",IF(AND('班次明細'!L47&gt;0,'班次明細'!G47&lt;=B165,'班次明細'!H47&gt;=C165),1,0),0)+IF(RIGHT('班次明細'!O54,2)="炸區",IF(AND('班次明細'!L54&gt;0,'班次明細'!G54&lt;=B165,'班次明細'!H54&gt;=C165),1,0),0)+IF(RIGHT('班次明細'!O61,2)="炸區",IF(AND('班次明細'!L61&gt;0,'班次明細'!G61&lt;=B165,'班次明細'!H61&gt;=C165),1,0),0)+IF(RIGHT('班次明細'!O68,2)="炸區",IF(AND('班次明細'!L68&gt;0,'班次明細'!G68&lt;=B165,'班次明細'!H68&gt;=C165),1,0),0)+IF(RIGHT('班次明細'!O75,2)="炸區",IF(AND('班次明細'!L75&gt;0,'班次明細'!G75&lt;=B165,'班次明細'!H75&gt;=C165),1,0),0)+IF(RIGHT('班次明細'!O82,2)="炸區",IF(AND('班次明細'!L82&gt;0,'班次明細'!G82&lt;=B165,'班次明細'!H82&gt;=C165),1,0),0))&gt;0,0,1)+IF((IF(RIGHT('班次明細'!O12,2)="拍區",IF(AND('班次明細'!L12&gt;0,'班次明細'!G12&lt;=B165,'班次明細'!H12&gt;=C165),1,0),0)+IF(RIGHT('班次明細'!O19,2)="拍區",IF(AND('班次明細'!L19&gt;0,'班次明細'!G19&lt;=B165,'班次明細'!H19&gt;=C165),1,0),0)+IF(RIGHT('班次明細'!O26,2)="拍區",IF(AND('班次明細'!L26&gt;0,'班次明細'!G26&lt;=B165,'班次明細'!H26&gt;=C165),1,0),0)+IF(RIGHT('班次明細'!O33,2)="拍區",IF(AND('班次明細'!L33&gt;0,'班次明細'!G33&lt;=B165,'班次明細'!H33&gt;=C165),1,0),0)+IF(RIGHT('班次明細'!O40,2)="拍區",IF(AND('班次明細'!L40&gt;0,'班次明細'!G40&lt;=B165,'班次明細'!H40&gt;=C165),1,0),0)+IF(RIGHT('班次明細'!O47,2)="拍區",IF(AND('班次明細'!L47&gt;0,'班次明細'!G47&lt;=B165,'班次明細'!H47&gt;=C165),1,0),0)+IF(RIGHT('班次明細'!O54,2)="拍區",IF(AND('班次明細'!L54&gt;0,'班次明細'!G54&lt;=B165,'班次明細'!H54&gt;=C165),1,0),0)+IF(RIGHT('班次明細'!O61,2)="拍區",IF(AND('班次明細'!L61&gt;0,'班次明細'!G61&lt;=B165,'班次明細'!H61&gt;=C165),1,0),0)+IF(RIGHT('班次明細'!O68,2)="拍區",IF(AND('班次明細'!L68&gt;0,'班次明細'!G68&lt;=B165,'班次明細'!H68&gt;=C165),1,0),0)+IF(RIGHT('班次明細'!O75,2)="拍區",IF(AND('班次明細'!L75&gt;0,'班次明細'!G75&lt;=B165,'班次明細'!H75&gt;=C165),1,0),0)+IF(RIGHT('班次明細'!O82,2)="拍區",IF(AND('班次明細'!L82&gt;0,'班次明細'!G82&lt;=B165,'班次明細'!H82&gt;=C165),1,0),0))&gt;0,0,1)+IF((IF(RIGHT('班次明細'!O12,2)="控場",IF(AND('班次明細'!L12&gt;0,'班次明細'!G12&lt;=B165,'班次明細'!H12&gt;=C165),1,0),0)+IF(RIGHT('班次明細'!O19,2)="控場",IF(AND('班次明細'!L19&gt;0,'班次明細'!G19&lt;=B165,'班次明細'!H19&gt;=C165),1,0),0)+IF(RIGHT('班次明細'!O26,2)="控場",IF(AND('班次明細'!L26&gt;0,'班次明細'!G26&lt;=B165,'班次明細'!H26&gt;=C165),1,0),0)+IF(RIGHT('班次明細'!O33,2)="控場",IF(AND('班次明細'!L33&gt;0,'班次明細'!G33&lt;=B165,'班次明細'!H33&gt;=C165),1,0),0)+IF(RIGHT('班次明細'!O40,2)="控場",IF(AND('班次明細'!L40&gt;0,'班次明細'!G40&lt;=B165,'班次明細'!H40&gt;=C165),1,0),0)+IF(RIGHT('班次明細'!O47,2)="控場",IF(AND('班次明細'!L47&gt;0,'班次明細'!G47&lt;=B165,'班次明細'!H47&gt;=C165),1,0),0)+IF(RIGHT('班次明細'!O54,2)="控場",IF(AND('班次明細'!L54&gt;0,'班次明細'!G54&lt;=B165,'班次明細'!H54&gt;=C165),1,0),0)+IF(RIGHT('班次明細'!O61,2)="控場",IF(AND('班次明細'!L61&gt;0,'班次明細'!G61&lt;=B165,'班次明細'!H61&gt;=C165),1,0),0)+IF(RIGHT('班次明細'!O68,2)="控場",IF(AND('班次明細'!L68&gt;0,'班次明細'!G68&lt;=B165,'班次明細'!H68&gt;=C165),1,0),0)+IF(RIGHT('班次明細'!O75,2)="控場",IF(AND('班次明細'!L75&gt;0,'班次明細'!G75&lt;=B165,'班次明細'!H75&gt;=C165),1,0),0)+IF(RIGHT('班次明細'!O82,2)="控場",IF(AND('班次明細'!L82&gt;0,'班次明細'!G82&lt;=B165,'班次明細'!H82&gt;=C165),1,0),0))&gt;0,0,1)</x:f>
        <x:v>2</x:v>
      </x:c>
      <x:c r="K165" s="11" t="str">
        <x:v>P02:外場；P03:吧台；P05:炸區；P07:外場；P09:司爐；P10:拍區</x:v>
      </x:c>
      <x:c r="L165" s="11" t="str">
        <x:f>IF(OR(H165&gt;0,I165&gt;0,J165&gt;0),"缺口／超額待處理","主崗齊；休息待現場")</x:f>
        <x:v>缺口／超額待處理</x:v>
      </x:c>
    </x:row>
    <x:row r="166" ht="42" customHeight="1">
      <x:c r="A166" s="12" t="n">
        <x:v>46320</x:v>
      </x:c>
      <x:c r="B166" s="13" t="n">
        <x:v>0.75</x:v>
      </x:c>
      <x:c r="C166" s="13" t="n">
        <x:v>0.7708333333333334</x:v>
      </x:c>
      <x:c r="D166" s="2" t="str">
        <x:v>晚餐主崗</x:v>
      </x:c>
      <x:c r="E166" s="2" t="n">
        <x:v>7</x:v>
      </x:c>
      <x:c r="F166" s="2" t="n">
        <x:v>7</x:v>
      </x:c>
      <x:c r="G166" s="2" t="n">
        <x:f>IF(AND('班次明細'!L12&gt;0,'班次明細'!G12&lt;=B166,'班次明細'!H12&gt;=C166),1,0)+IF(AND('班次明細'!L19&gt;0,'班次明細'!G19&lt;=B166,'班次明細'!H19&gt;=C166),1,0)+IF(AND('班次明細'!L26&gt;0,'班次明細'!G26&lt;=B166,'班次明細'!H26&gt;=C166),1,0)+IF(AND('班次明細'!L33&gt;0,'班次明細'!G33&lt;=B166,'班次明細'!H33&gt;=C166),1,0)+IF(AND('班次明細'!L40&gt;0,'班次明細'!G40&lt;=B166,'班次明細'!H40&gt;=C166),1,0)+IF(AND('班次明細'!L47&gt;0,'班次明細'!G47&lt;=B166,'班次明細'!H47&gt;=C166),1,0)+IF(AND('班次明細'!L54&gt;0,'班次明細'!G54&lt;=B166,'班次明細'!H54&gt;=C166),1,0)+IF(AND('班次明細'!L61&gt;0,'班次明細'!G61&lt;=B166,'班次明細'!H61&gt;=C166),1,0)+IF(AND('班次明細'!L68&gt;0,'班次明細'!G68&lt;=B166,'班次明細'!H68&gt;=C166),1,0)+IF(AND('班次明細'!L75&gt;0,'班次明細'!G75&lt;=B166,'班次明細'!H75&gt;=C166),1,0)+IF(AND('班次明細'!L82&gt;0,'班次明細'!G82&lt;=B166,'班次明細'!H82&gt;=C166),1,0)</x:f>
        <x:v>6</x:v>
      </x:c>
      <x:c r="H166" s="2" t="n">
        <x:f>MAX(0,E166-G166)</x:f>
        <x:v>1</x:v>
      </x:c>
      <x:c r="I166" s="2" t="n">
        <x:f>IF(F166="",0,MAX(0,G166-F166))</x:f>
        <x:v>0</x:v>
      </x:c>
      <x:c r="J166" s="2" t="n">
        <x:f>IF((IF(RIGHT('班次明細'!O12,2)="外場",IF(AND('班次明細'!L12&gt;0,'班次明細'!G12&lt;=B166,'班次明細'!H12&gt;=C166),1,0),0)+IF(RIGHT('班次明細'!O19,2)="外場",IF(AND('班次明細'!L19&gt;0,'班次明細'!G19&lt;=B166,'班次明細'!H19&gt;=C166),1,0),0)+IF(RIGHT('班次明細'!O26,2)="外場",IF(AND('班次明細'!L26&gt;0,'班次明細'!G26&lt;=B166,'班次明細'!H26&gt;=C166),1,0),0)+IF(RIGHT('班次明細'!O33,2)="外場",IF(AND('班次明細'!L33&gt;0,'班次明細'!G33&lt;=B166,'班次明細'!H33&gt;=C166),1,0),0)+IF(RIGHT('班次明細'!O40,2)="外場",IF(AND('班次明細'!L40&gt;0,'班次明細'!G40&lt;=B166,'班次明細'!H40&gt;=C166),1,0),0)+IF(RIGHT('班次明細'!O47,2)="外場",IF(AND('班次明細'!L47&gt;0,'班次明細'!G47&lt;=B166,'班次明細'!H47&gt;=C166),1,0),0)+IF(RIGHT('班次明細'!O54,2)="外場",IF(AND('班次明細'!L54&gt;0,'班次明細'!G54&lt;=B166,'班次明細'!H54&gt;=C166),1,0),0)+IF(RIGHT('班次明細'!O61,2)="外場",IF(AND('班次明細'!L61&gt;0,'班次明細'!G61&lt;=B166,'班次明細'!H61&gt;=C166),1,0),0)+IF(RIGHT('班次明細'!O68,2)="外場",IF(AND('班次明細'!L68&gt;0,'班次明細'!G68&lt;=B166,'班次明細'!H68&gt;=C166),1,0),0)+IF(RIGHT('班次明細'!O75,2)="外場",IF(AND('班次明細'!L75&gt;0,'班次明細'!G75&lt;=B166,'班次明細'!H75&gt;=C166),1,0),0)+IF(RIGHT('班次明細'!O82,2)="外場",IF(AND('班次明細'!L82&gt;0,'班次明細'!G82&lt;=B166,'班次明細'!H82&gt;=C166),1,0),0))&gt;0,0,1)+IF((IF(RIGHT('班次明細'!O12,2)="吧台",IF(AND('班次明細'!L12&gt;0,'班次明細'!G12&lt;=B166,'班次明細'!H12&gt;=C166),1,0),0)+IF(RIGHT('班次明細'!O19,2)="吧台",IF(AND('班次明細'!L19&gt;0,'班次明細'!G19&lt;=B166,'班次明細'!H19&gt;=C166),1,0),0)+IF(RIGHT('班次明細'!O26,2)="吧台",IF(AND('班次明細'!L26&gt;0,'班次明細'!G26&lt;=B166,'班次明細'!H26&gt;=C166),1,0),0)+IF(RIGHT('班次明細'!O33,2)="吧台",IF(AND('班次明細'!L33&gt;0,'班次明細'!G33&lt;=B166,'班次明細'!H33&gt;=C166),1,0),0)+IF(RIGHT('班次明細'!O40,2)="吧台",IF(AND('班次明細'!L40&gt;0,'班次明細'!G40&lt;=B166,'班次明細'!H40&gt;=C166),1,0),0)+IF(RIGHT('班次明細'!O47,2)="吧台",IF(AND('班次明細'!L47&gt;0,'班次明細'!G47&lt;=B166,'班次明細'!H47&gt;=C166),1,0),0)+IF(RIGHT('班次明細'!O54,2)="吧台",IF(AND('班次明細'!L54&gt;0,'班次明細'!G54&lt;=B166,'班次明細'!H54&gt;=C166),1,0),0)+IF(RIGHT('班次明細'!O61,2)="吧台",IF(AND('班次明細'!L61&gt;0,'班次明細'!G61&lt;=B166,'班次明細'!H61&gt;=C166),1,0),0)+IF(RIGHT('班次明細'!O68,2)="吧台",IF(AND('班次明細'!L68&gt;0,'班次明細'!G68&lt;=B166,'班次明細'!H68&gt;=C166),1,0),0)+IF(RIGHT('班次明細'!O75,2)="吧台",IF(AND('班次明細'!L75&gt;0,'班次明細'!G75&lt;=B166,'班次明細'!H75&gt;=C166),1,0),0)+IF(RIGHT('班次明細'!O82,2)="吧台",IF(AND('班次明細'!L82&gt;0,'班次明細'!G82&lt;=B166,'班次明細'!H82&gt;=C166),1,0),0))&gt;0,0,1)+IF((IF(RIGHT('班次明細'!O12,2)="司爐",IF(AND('班次明細'!L12&gt;0,'班次明細'!G12&lt;=B166,'班次明細'!H12&gt;=C166),1,0),0)+IF(RIGHT('班次明細'!O19,2)="司爐",IF(AND('班次明細'!L19&gt;0,'班次明細'!G19&lt;=B166,'班次明細'!H19&gt;=C166),1,0),0)+IF(RIGHT('班次明細'!O26,2)="司爐",IF(AND('班次明細'!L26&gt;0,'班次明細'!G26&lt;=B166,'班次明細'!H26&gt;=C166),1,0),0)+IF(RIGHT('班次明細'!O33,2)="司爐",IF(AND('班次明細'!L33&gt;0,'班次明細'!G33&lt;=B166,'班次明細'!H33&gt;=C166),1,0),0)+IF(RIGHT('班次明細'!O40,2)="司爐",IF(AND('班次明細'!L40&gt;0,'班次明細'!G40&lt;=B166,'班次明細'!H40&gt;=C166),1,0),0)+IF(RIGHT('班次明細'!O47,2)="司爐",IF(AND('班次明細'!L47&gt;0,'班次明細'!G47&lt;=B166,'班次明細'!H47&gt;=C166),1,0),0)+IF(RIGHT('班次明細'!O54,2)="司爐",IF(AND('班次明細'!L54&gt;0,'班次明細'!G54&lt;=B166,'班次明細'!H54&gt;=C166),1,0),0)+IF(RIGHT('班次明細'!O61,2)="司爐",IF(AND('班次明細'!L61&gt;0,'班次明細'!G61&lt;=B166,'班次明細'!H61&gt;=C166),1,0),0)+IF(RIGHT('班次明細'!O68,2)="司爐",IF(AND('班次明細'!L68&gt;0,'班次明細'!G68&lt;=B166,'班次明細'!H68&gt;=C166),1,0),0)+IF(RIGHT('班次明細'!O75,2)="司爐",IF(AND('班次明細'!L75&gt;0,'班次明細'!G75&lt;=B166,'班次明細'!H75&gt;=C166),1,0),0)+IF(RIGHT('班次明細'!O82,2)="司爐",IF(AND('班次明細'!L82&gt;0,'班次明細'!G82&lt;=B166,'班次明細'!H82&gt;=C166),1,0),0))&gt;0,0,1)+IF((IF(RIGHT('班次明細'!O12,2)="料區",IF(AND('班次明細'!L12&gt;0,'班次明細'!G12&lt;=B166,'班次明細'!H12&gt;=C166),1,0),0)+IF(RIGHT('班次明細'!O19,2)="料區",IF(AND('班次明細'!L19&gt;0,'班次明細'!G19&lt;=B166,'班次明細'!H19&gt;=C166),1,0),0)+IF(RIGHT('班次明細'!O26,2)="料區",IF(AND('班次明細'!L26&gt;0,'班次明細'!G26&lt;=B166,'班次明細'!H26&gt;=C166),1,0),0)+IF(RIGHT('班次明細'!O33,2)="料區",IF(AND('班次明細'!L33&gt;0,'班次明細'!G33&lt;=B166,'班次明細'!H33&gt;=C166),1,0),0)+IF(RIGHT('班次明細'!O40,2)="料區",IF(AND('班次明細'!L40&gt;0,'班次明細'!G40&lt;=B166,'班次明細'!H40&gt;=C166),1,0),0)+IF(RIGHT('班次明細'!O47,2)="料區",IF(AND('班次明細'!L47&gt;0,'班次明細'!G47&lt;=B166,'班次明細'!H47&gt;=C166),1,0),0)+IF(RIGHT('班次明細'!O54,2)="料區",IF(AND('班次明細'!L54&gt;0,'班次明細'!G54&lt;=B166,'班次明細'!H54&gt;=C166),1,0),0)+IF(RIGHT('班次明細'!O61,2)="料區",IF(AND('班次明細'!L61&gt;0,'班次明細'!G61&lt;=B166,'班次明細'!H61&gt;=C166),1,0),0)+IF(RIGHT('班次明細'!O68,2)="料區",IF(AND('班次明細'!L68&gt;0,'班次明細'!G68&lt;=B166,'班次明細'!H68&gt;=C166),1,0),0)+IF(RIGHT('班次明細'!O75,2)="料區",IF(AND('班次明細'!L75&gt;0,'班次明細'!G75&lt;=B166,'班次明細'!H75&gt;=C166),1,0),0)+IF(RIGHT('班次明細'!O82,2)="料區",IF(AND('班次明細'!L82&gt;0,'班次明細'!G82&lt;=B166,'班次明細'!H82&gt;=C166),1,0),0))&gt;0,0,1)+IF((IF(RIGHT('班次明細'!O12,2)="炸區",IF(AND('班次明細'!L12&gt;0,'班次明細'!G12&lt;=B166,'班次明細'!H12&gt;=C166),1,0),0)+IF(RIGHT('班次明細'!O19,2)="炸區",IF(AND('班次明細'!L19&gt;0,'班次明細'!G19&lt;=B166,'班次明細'!H19&gt;=C166),1,0),0)+IF(RIGHT('班次明細'!O26,2)="炸區",IF(AND('班次明細'!L26&gt;0,'班次明細'!G26&lt;=B166,'班次明細'!H26&gt;=C166),1,0),0)+IF(RIGHT('班次明細'!O33,2)="炸區",IF(AND('班次明細'!L33&gt;0,'班次明細'!G33&lt;=B166,'班次明細'!H33&gt;=C166),1,0),0)+IF(RIGHT('班次明細'!O40,2)="炸區",IF(AND('班次明細'!L40&gt;0,'班次明細'!G40&lt;=B166,'班次明細'!H40&gt;=C166),1,0),0)+IF(RIGHT('班次明細'!O47,2)="炸區",IF(AND('班次明細'!L47&gt;0,'班次明細'!G47&lt;=B166,'班次明細'!H47&gt;=C166),1,0),0)+IF(RIGHT('班次明細'!O54,2)="炸區",IF(AND('班次明細'!L54&gt;0,'班次明細'!G54&lt;=B166,'班次明細'!H54&gt;=C166),1,0),0)+IF(RIGHT('班次明細'!O61,2)="炸區",IF(AND('班次明細'!L61&gt;0,'班次明細'!G61&lt;=B166,'班次明細'!H61&gt;=C166),1,0),0)+IF(RIGHT('班次明細'!O68,2)="炸區",IF(AND('班次明細'!L68&gt;0,'班次明細'!G68&lt;=B166,'班次明細'!H68&gt;=C166),1,0),0)+IF(RIGHT('班次明細'!O75,2)="炸區",IF(AND('班次明細'!L75&gt;0,'班次明細'!G75&lt;=B166,'班次明細'!H75&gt;=C166),1,0),0)+IF(RIGHT('班次明細'!O82,2)="炸區",IF(AND('班次明細'!L82&gt;0,'班次明細'!G82&lt;=B166,'班次明細'!H82&gt;=C166),1,0),0))&gt;0,0,1)+IF((IF(RIGHT('班次明細'!O12,2)="拍區",IF(AND('班次明細'!L12&gt;0,'班次明細'!G12&lt;=B166,'班次明細'!H12&gt;=C166),1,0),0)+IF(RIGHT('班次明細'!O19,2)="拍區",IF(AND('班次明細'!L19&gt;0,'班次明細'!G19&lt;=B166,'班次明細'!H19&gt;=C166),1,0),0)+IF(RIGHT('班次明細'!O26,2)="拍區",IF(AND('班次明細'!L26&gt;0,'班次明細'!G26&lt;=B166,'班次明細'!H26&gt;=C166),1,0),0)+IF(RIGHT('班次明細'!O33,2)="拍區",IF(AND('班次明細'!L33&gt;0,'班次明細'!G33&lt;=B166,'班次明細'!H33&gt;=C166),1,0),0)+IF(RIGHT('班次明細'!O40,2)="拍區",IF(AND('班次明細'!L40&gt;0,'班次明細'!G40&lt;=B166,'班次明細'!H40&gt;=C166),1,0),0)+IF(RIGHT('班次明細'!O47,2)="拍區",IF(AND('班次明細'!L47&gt;0,'班次明細'!G47&lt;=B166,'班次明細'!H47&gt;=C166),1,0),0)+IF(RIGHT('班次明細'!O54,2)="拍區",IF(AND('班次明細'!L54&gt;0,'班次明細'!G54&lt;=B166,'班次明細'!H54&gt;=C166),1,0),0)+IF(RIGHT('班次明細'!O61,2)="拍區",IF(AND('班次明細'!L61&gt;0,'班次明細'!G61&lt;=B166,'班次明細'!H61&gt;=C166),1,0),0)+IF(RIGHT('班次明細'!O68,2)="拍區",IF(AND('班次明細'!L68&gt;0,'班次明細'!G68&lt;=B166,'班次明細'!H68&gt;=C166),1,0),0)+IF(RIGHT('班次明細'!O75,2)="拍區",IF(AND('班次明細'!L75&gt;0,'班次明細'!G75&lt;=B166,'班次明細'!H75&gt;=C166),1,0),0)+IF(RIGHT('班次明細'!O82,2)="拍區",IF(AND('班次明細'!L82&gt;0,'班次明細'!G82&lt;=B166,'班次明細'!H82&gt;=C166),1,0),0))&gt;0,0,1)+IF((IF(RIGHT('班次明細'!O12,2)="控場",IF(AND('班次明細'!L12&gt;0,'班次明細'!G12&lt;=B166,'班次明細'!H12&gt;=C166),1,0),0)+IF(RIGHT('班次明細'!O19,2)="控場",IF(AND('班次明細'!L19&gt;0,'班次明細'!G19&lt;=B166,'班次明細'!H19&gt;=C166),1,0),0)+IF(RIGHT('班次明細'!O26,2)="控場",IF(AND('班次明細'!L26&gt;0,'班次明細'!G26&lt;=B166,'班次明細'!H26&gt;=C166),1,0),0)+IF(RIGHT('班次明細'!O33,2)="控場",IF(AND('班次明細'!L33&gt;0,'班次明細'!G33&lt;=B166,'班次明細'!H33&gt;=C166),1,0),0)+IF(RIGHT('班次明細'!O40,2)="控場",IF(AND('班次明細'!L40&gt;0,'班次明細'!G40&lt;=B166,'班次明細'!H40&gt;=C166),1,0),0)+IF(RIGHT('班次明細'!O47,2)="控場",IF(AND('班次明細'!L47&gt;0,'班次明細'!G47&lt;=B166,'班次明細'!H47&gt;=C166),1,0),0)+IF(RIGHT('班次明細'!O54,2)="控場",IF(AND('班次明細'!L54&gt;0,'班次明細'!G54&lt;=B166,'班次明細'!H54&gt;=C166),1,0),0)+IF(RIGHT('班次明細'!O61,2)="控場",IF(AND('班次明細'!L61&gt;0,'班次明細'!G61&lt;=B166,'班次明細'!H61&gt;=C166),1,0),0)+IF(RIGHT('班次明細'!O68,2)="控場",IF(AND('班次明細'!L68&gt;0,'班次明細'!G68&lt;=B166,'班次明細'!H68&gt;=C166),1,0),0)+IF(RIGHT('班次明細'!O75,2)="控場",IF(AND('班次明細'!L75&gt;0,'班次明細'!G75&lt;=B166,'班次明細'!H75&gt;=C166),1,0),0)+IF(RIGHT('班次明細'!O82,2)="控場",IF(AND('班次明細'!L82&gt;0,'班次明細'!G82&lt;=B166,'班次明細'!H82&gt;=C166),1,0),0))&gt;0,0,1)</x:f>
        <x:v>2</x:v>
      </x:c>
      <x:c r="K166" s="11" t="str">
        <x:v>P02:外場；P03:吧台；P05:炸區；P07:外場；P09:司爐；P10:拍區</x:v>
      </x:c>
      <x:c r="L166" s="11" t="str">
        <x:f>IF(OR(H166&gt;0,I166&gt;0,J166&gt;0),"缺口／超額待處理","主崗齊；休息待現場")</x:f>
        <x:v>缺口／超額待處理</x:v>
      </x:c>
    </x:row>
    <x:row r="167" ht="42" customHeight="1">
      <x:c r="A167" s="12" t="n">
        <x:v>46320</x:v>
      </x:c>
      <x:c r="B167" s="13" t="n">
        <x:v>0.7708333333333334</x:v>
      </x:c>
      <x:c r="C167" s="13" t="n">
        <x:v>0.7916666666666666</x:v>
      </x:c>
      <x:c r="D167" s="2" t="str">
        <x:v>晚餐主崗</x:v>
      </x:c>
      <x:c r="E167" s="2" t="n">
        <x:v>7</x:v>
      </x:c>
      <x:c r="F167" s="2" t="n">
        <x:v>7</x:v>
      </x:c>
      <x:c r="G167" s="2" t="n">
        <x:f>IF(AND('班次明細'!L12&gt;0,'班次明細'!G12&lt;=B167,'班次明細'!H12&gt;=C167),1,0)+IF(AND('班次明細'!L19&gt;0,'班次明細'!G19&lt;=B167,'班次明細'!H19&gt;=C167),1,0)+IF(AND('班次明細'!L26&gt;0,'班次明細'!G26&lt;=B167,'班次明細'!H26&gt;=C167),1,0)+IF(AND('班次明細'!L33&gt;0,'班次明細'!G33&lt;=B167,'班次明細'!H33&gt;=C167),1,0)+IF(AND('班次明細'!L40&gt;0,'班次明細'!G40&lt;=B167,'班次明細'!H40&gt;=C167),1,0)+IF(AND('班次明細'!L47&gt;0,'班次明細'!G47&lt;=B167,'班次明細'!H47&gt;=C167),1,0)+IF(AND('班次明細'!L54&gt;0,'班次明細'!G54&lt;=B167,'班次明細'!H54&gt;=C167),1,0)+IF(AND('班次明細'!L61&gt;0,'班次明細'!G61&lt;=B167,'班次明細'!H61&gt;=C167),1,0)+IF(AND('班次明細'!L68&gt;0,'班次明細'!G68&lt;=B167,'班次明細'!H68&gt;=C167),1,0)+IF(AND('班次明細'!L75&gt;0,'班次明細'!G75&lt;=B167,'班次明細'!H75&gt;=C167),1,0)+IF(AND('班次明細'!L82&gt;0,'班次明細'!G82&lt;=B167,'班次明細'!H82&gt;=C167),1,0)</x:f>
        <x:v>6</x:v>
      </x:c>
      <x:c r="H167" s="2" t="n">
        <x:f>MAX(0,E167-G167)</x:f>
        <x:v>1</x:v>
      </x:c>
      <x:c r="I167" s="2" t="n">
        <x:f>IF(F167="",0,MAX(0,G167-F167))</x:f>
        <x:v>0</x:v>
      </x:c>
      <x:c r="J167" s="2" t="n">
        <x:f>IF((IF(RIGHT('班次明細'!O12,2)="外場",IF(AND('班次明細'!L12&gt;0,'班次明細'!G12&lt;=B167,'班次明細'!H12&gt;=C167),1,0),0)+IF(RIGHT('班次明細'!O19,2)="外場",IF(AND('班次明細'!L19&gt;0,'班次明細'!G19&lt;=B167,'班次明細'!H19&gt;=C167),1,0),0)+IF(RIGHT('班次明細'!O26,2)="外場",IF(AND('班次明細'!L26&gt;0,'班次明細'!G26&lt;=B167,'班次明細'!H26&gt;=C167),1,0),0)+IF(RIGHT('班次明細'!O33,2)="外場",IF(AND('班次明細'!L33&gt;0,'班次明細'!G33&lt;=B167,'班次明細'!H33&gt;=C167),1,0),0)+IF(RIGHT('班次明細'!O40,2)="外場",IF(AND('班次明細'!L40&gt;0,'班次明細'!G40&lt;=B167,'班次明細'!H40&gt;=C167),1,0),0)+IF(RIGHT('班次明細'!O47,2)="外場",IF(AND('班次明細'!L47&gt;0,'班次明細'!G47&lt;=B167,'班次明細'!H47&gt;=C167),1,0),0)+IF(RIGHT('班次明細'!O54,2)="外場",IF(AND('班次明細'!L54&gt;0,'班次明細'!G54&lt;=B167,'班次明細'!H54&gt;=C167),1,0),0)+IF(RIGHT('班次明細'!O61,2)="外場",IF(AND('班次明細'!L61&gt;0,'班次明細'!G61&lt;=B167,'班次明細'!H61&gt;=C167),1,0),0)+IF(RIGHT('班次明細'!O68,2)="外場",IF(AND('班次明細'!L68&gt;0,'班次明細'!G68&lt;=B167,'班次明細'!H68&gt;=C167),1,0),0)+IF(RIGHT('班次明細'!O75,2)="外場",IF(AND('班次明細'!L75&gt;0,'班次明細'!G75&lt;=B167,'班次明細'!H75&gt;=C167),1,0),0)+IF(RIGHT('班次明細'!O82,2)="外場",IF(AND('班次明細'!L82&gt;0,'班次明細'!G82&lt;=B167,'班次明細'!H82&gt;=C167),1,0),0))&gt;0,0,1)+IF((IF(RIGHT('班次明細'!O12,2)="吧台",IF(AND('班次明細'!L12&gt;0,'班次明細'!G12&lt;=B167,'班次明細'!H12&gt;=C167),1,0),0)+IF(RIGHT('班次明細'!O19,2)="吧台",IF(AND('班次明細'!L19&gt;0,'班次明細'!G19&lt;=B167,'班次明細'!H19&gt;=C167),1,0),0)+IF(RIGHT('班次明細'!O26,2)="吧台",IF(AND('班次明細'!L26&gt;0,'班次明細'!G26&lt;=B167,'班次明細'!H26&gt;=C167),1,0),0)+IF(RIGHT('班次明細'!O33,2)="吧台",IF(AND('班次明細'!L33&gt;0,'班次明細'!G33&lt;=B167,'班次明細'!H33&gt;=C167),1,0),0)+IF(RIGHT('班次明細'!O40,2)="吧台",IF(AND('班次明細'!L40&gt;0,'班次明細'!G40&lt;=B167,'班次明細'!H40&gt;=C167),1,0),0)+IF(RIGHT('班次明細'!O47,2)="吧台",IF(AND('班次明細'!L47&gt;0,'班次明細'!G47&lt;=B167,'班次明細'!H47&gt;=C167),1,0),0)+IF(RIGHT('班次明細'!O54,2)="吧台",IF(AND('班次明細'!L54&gt;0,'班次明細'!G54&lt;=B167,'班次明細'!H54&gt;=C167),1,0),0)+IF(RIGHT('班次明細'!O61,2)="吧台",IF(AND('班次明細'!L61&gt;0,'班次明細'!G61&lt;=B167,'班次明細'!H61&gt;=C167),1,0),0)+IF(RIGHT('班次明細'!O68,2)="吧台",IF(AND('班次明細'!L68&gt;0,'班次明細'!G68&lt;=B167,'班次明細'!H68&gt;=C167),1,0),0)+IF(RIGHT('班次明細'!O75,2)="吧台",IF(AND('班次明細'!L75&gt;0,'班次明細'!G75&lt;=B167,'班次明細'!H75&gt;=C167),1,0),0)+IF(RIGHT('班次明細'!O82,2)="吧台",IF(AND('班次明細'!L82&gt;0,'班次明細'!G82&lt;=B167,'班次明細'!H82&gt;=C167),1,0),0))&gt;0,0,1)+IF((IF(RIGHT('班次明細'!O12,2)="司爐",IF(AND('班次明細'!L12&gt;0,'班次明細'!G12&lt;=B167,'班次明細'!H12&gt;=C167),1,0),0)+IF(RIGHT('班次明細'!O19,2)="司爐",IF(AND('班次明細'!L19&gt;0,'班次明細'!G19&lt;=B167,'班次明細'!H19&gt;=C167),1,0),0)+IF(RIGHT('班次明細'!O26,2)="司爐",IF(AND('班次明細'!L26&gt;0,'班次明細'!G26&lt;=B167,'班次明細'!H26&gt;=C167),1,0),0)+IF(RIGHT('班次明細'!O33,2)="司爐",IF(AND('班次明細'!L33&gt;0,'班次明細'!G33&lt;=B167,'班次明細'!H33&gt;=C167),1,0),0)+IF(RIGHT('班次明細'!O40,2)="司爐",IF(AND('班次明細'!L40&gt;0,'班次明細'!G40&lt;=B167,'班次明細'!H40&gt;=C167),1,0),0)+IF(RIGHT('班次明細'!O47,2)="司爐",IF(AND('班次明細'!L47&gt;0,'班次明細'!G47&lt;=B167,'班次明細'!H47&gt;=C167),1,0),0)+IF(RIGHT('班次明細'!O54,2)="司爐",IF(AND('班次明細'!L54&gt;0,'班次明細'!G54&lt;=B167,'班次明細'!H54&gt;=C167),1,0),0)+IF(RIGHT('班次明細'!O61,2)="司爐",IF(AND('班次明細'!L61&gt;0,'班次明細'!G61&lt;=B167,'班次明細'!H61&gt;=C167),1,0),0)+IF(RIGHT('班次明細'!O68,2)="司爐",IF(AND('班次明細'!L68&gt;0,'班次明細'!G68&lt;=B167,'班次明細'!H68&gt;=C167),1,0),0)+IF(RIGHT('班次明細'!O75,2)="司爐",IF(AND('班次明細'!L75&gt;0,'班次明細'!G75&lt;=B167,'班次明細'!H75&gt;=C167),1,0),0)+IF(RIGHT('班次明細'!O82,2)="司爐",IF(AND('班次明細'!L82&gt;0,'班次明細'!G82&lt;=B167,'班次明細'!H82&gt;=C167),1,0),0))&gt;0,0,1)+IF((IF(RIGHT('班次明細'!O12,2)="料區",IF(AND('班次明細'!L12&gt;0,'班次明細'!G12&lt;=B167,'班次明細'!H12&gt;=C167),1,0),0)+IF(RIGHT('班次明細'!O19,2)="料區",IF(AND('班次明細'!L19&gt;0,'班次明細'!G19&lt;=B167,'班次明細'!H19&gt;=C167),1,0),0)+IF(RIGHT('班次明細'!O26,2)="料區",IF(AND('班次明細'!L26&gt;0,'班次明細'!G26&lt;=B167,'班次明細'!H26&gt;=C167),1,0),0)+IF(RIGHT('班次明細'!O33,2)="料區",IF(AND('班次明細'!L33&gt;0,'班次明細'!G33&lt;=B167,'班次明細'!H33&gt;=C167),1,0),0)+IF(RIGHT('班次明細'!O40,2)="料區",IF(AND('班次明細'!L40&gt;0,'班次明細'!G40&lt;=B167,'班次明細'!H40&gt;=C167),1,0),0)+IF(RIGHT('班次明細'!O47,2)="料區",IF(AND('班次明細'!L47&gt;0,'班次明細'!G47&lt;=B167,'班次明細'!H47&gt;=C167),1,0),0)+IF(RIGHT('班次明細'!O54,2)="料區",IF(AND('班次明細'!L54&gt;0,'班次明細'!G54&lt;=B167,'班次明細'!H54&gt;=C167),1,0),0)+IF(RIGHT('班次明細'!O61,2)="料區",IF(AND('班次明細'!L61&gt;0,'班次明細'!G61&lt;=B167,'班次明細'!H61&gt;=C167),1,0),0)+IF(RIGHT('班次明細'!O68,2)="料區",IF(AND('班次明細'!L68&gt;0,'班次明細'!G68&lt;=B167,'班次明細'!H68&gt;=C167),1,0),0)+IF(RIGHT('班次明細'!O75,2)="料區",IF(AND('班次明細'!L75&gt;0,'班次明細'!G75&lt;=B167,'班次明細'!H75&gt;=C167),1,0),0)+IF(RIGHT('班次明細'!O82,2)="料區",IF(AND('班次明細'!L82&gt;0,'班次明細'!G82&lt;=B167,'班次明細'!H82&gt;=C167),1,0),0))&gt;0,0,1)+IF((IF(RIGHT('班次明細'!O12,2)="炸區",IF(AND('班次明細'!L12&gt;0,'班次明細'!G12&lt;=B167,'班次明細'!H12&gt;=C167),1,0),0)+IF(RIGHT('班次明細'!O19,2)="炸區",IF(AND('班次明細'!L19&gt;0,'班次明細'!G19&lt;=B167,'班次明細'!H19&gt;=C167),1,0),0)+IF(RIGHT('班次明細'!O26,2)="炸區",IF(AND('班次明細'!L26&gt;0,'班次明細'!G26&lt;=B167,'班次明細'!H26&gt;=C167),1,0),0)+IF(RIGHT('班次明細'!O33,2)="炸區",IF(AND('班次明細'!L33&gt;0,'班次明細'!G33&lt;=B167,'班次明細'!H33&gt;=C167),1,0),0)+IF(RIGHT('班次明細'!O40,2)="炸區",IF(AND('班次明細'!L40&gt;0,'班次明細'!G40&lt;=B167,'班次明細'!H40&gt;=C167),1,0),0)+IF(RIGHT('班次明細'!O47,2)="炸區",IF(AND('班次明細'!L47&gt;0,'班次明細'!G47&lt;=B167,'班次明細'!H47&gt;=C167),1,0),0)+IF(RIGHT('班次明細'!O54,2)="炸區",IF(AND('班次明細'!L54&gt;0,'班次明細'!G54&lt;=B167,'班次明細'!H54&gt;=C167),1,0),0)+IF(RIGHT('班次明細'!O61,2)="炸區",IF(AND('班次明細'!L61&gt;0,'班次明細'!G61&lt;=B167,'班次明細'!H61&gt;=C167),1,0),0)+IF(RIGHT('班次明細'!O68,2)="炸區",IF(AND('班次明細'!L68&gt;0,'班次明細'!G68&lt;=B167,'班次明細'!H68&gt;=C167),1,0),0)+IF(RIGHT('班次明細'!O75,2)="炸區",IF(AND('班次明細'!L75&gt;0,'班次明細'!G75&lt;=B167,'班次明細'!H75&gt;=C167),1,0),0)+IF(RIGHT('班次明細'!O82,2)="炸區",IF(AND('班次明細'!L82&gt;0,'班次明細'!G82&lt;=B167,'班次明細'!H82&gt;=C167),1,0),0))&gt;0,0,1)+IF((IF(RIGHT('班次明細'!O12,2)="拍區",IF(AND('班次明細'!L12&gt;0,'班次明細'!G12&lt;=B167,'班次明細'!H12&gt;=C167),1,0),0)+IF(RIGHT('班次明細'!O19,2)="拍區",IF(AND('班次明細'!L19&gt;0,'班次明細'!G19&lt;=B167,'班次明細'!H19&gt;=C167),1,0),0)+IF(RIGHT('班次明細'!O26,2)="拍區",IF(AND('班次明細'!L26&gt;0,'班次明細'!G26&lt;=B167,'班次明細'!H26&gt;=C167),1,0),0)+IF(RIGHT('班次明細'!O33,2)="拍區",IF(AND('班次明細'!L33&gt;0,'班次明細'!G33&lt;=B167,'班次明細'!H33&gt;=C167),1,0),0)+IF(RIGHT('班次明細'!O40,2)="拍區",IF(AND('班次明細'!L40&gt;0,'班次明細'!G40&lt;=B167,'班次明細'!H40&gt;=C167),1,0),0)+IF(RIGHT('班次明細'!O47,2)="拍區",IF(AND('班次明細'!L47&gt;0,'班次明細'!G47&lt;=B167,'班次明細'!H47&gt;=C167),1,0),0)+IF(RIGHT('班次明細'!O54,2)="拍區",IF(AND('班次明細'!L54&gt;0,'班次明細'!G54&lt;=B167,'班次明細'!H54&gt;=C167),1,0),0)+IF(RIGHT('班次明細'!O61,2)="拍區",IF(AND('班次明細'!L61&gt;0,'班次明細'!G61&lt;=B167,'班次明細'!H61&gt;=C167),1,0),0)+IF(RIGHT('班次明細'!O68,2)="拍區",IF(AND('班次明細'!L68&gt;0,'班次明細'!G68&lt;=B167,'班次明細'!H68&gt;=C167),1,0),0)+IF(RIGHT('班次明細'!O75,2)="拍區",IF(AND('班次明細'!L75&gt;0,'班次明細'!G75&lt;=B167,'班次明細'!H75&gt;=C167),1,0),0)+IF(RIGHT('班次明細'!O82,2)="拍區",IF(AND('班次明細'!L82&gt;0,'班次明細'!G82&lt;=B167,'班次明細'!H82&gt;=C167),1,0),0))&gt;0,0,1)+IF((IF(RIGHT('班次明細'!O12,2)="控場",IF(AND('班次明細'!L12&gt;0,'班次明細'!G12&lt;=B167,'班次明細'!H12&gt;=C167),1,0),0)+IF(RIGHT('班次明細'!O19,2)="控場",IF(AND('班次明細'!L19&gt;0,'班次明細'!G19&lt;=B167,'班次明細'!H19&gt;=C167),1,0),0)+IF(RIGHT('班次明細'!O26,2)="控場",IF(AND('班次明細'!L26&gt;0,'班次明細'!G26&lt;=B167,'班次明細'!H26&gt;=C167),1,0),0)+IF(RIGHT('班次明細'!O33,2)="控場",IF(AND('班次明細'!L33&gt;0,'班次明細'!G33&lt;=B167,'班次明細'!H33&gt;=C167),1,0),0)+IF(RIGHT('班次明細'!O40,2)="控場",IF(AND('班次明細'!L40&gt;0,'班次明細'!G40&lt;=B167,'班次明細'!H40&gt;=C167),1,0),0)+IF(RIGHT('班次明細'!O47,2)="控場",IF(AND('班次明細'!L47&gt;0,'班次明細'!G47&lt;=B167,'班次明細'!H47&gt;=C167),1,0),0)+IF(RIGHT('班次明細'!O54,2)="控場",IF(AND('班次明細'!L54&gt;0,'班次明細'!G54&lt;=B167,'班次明細'!H54&gt;=C167),1,0),0)+IF(RIGHT('班次明細'!O61,2)="控場",IF(AND('班次明細'!L61&gt;0,'班次明細'!G61&lt;=B167,'班次明細'!H61&gt;=C167),1,0),0)+IF(RIGHT('班次明細'!O68,2)="控場",IF(AND('班次明細'!L68&gt;0,'班次明細'!G68&lt;=B167,'班次明細'!H68&gt;=C167),1,0),0)+IF(RIGHT('班次明細'!O75,2)="控場",IF(AND('班次明細'!L75&gt;0,'班次明細'!G75&lt;=B167,'班次明細'!H75&gt;=C167),1,0),0)+IF(RIGHT('班次明細'!O82,2)="控場",IF(AND('班次明細'!L82&gt;0,'班次明細'!G82&lt;=B167,'班次明細'!H82&gt;=C167),1,0),0))&gt;0,0,1)</x:f>
        <x:v>2</x:v>
      </x:c>
      <x:c r="K167" s="11" t="str">
        <x:v>P02:外場；P03:吧台；P05:炸區；P07:外場；P09:司爐；P10:拍區</x:v>
      </x:c>
      <x:c r="L167" s="11" t="str">
        <x:f>IF(OR(H167&gt;0,I167&gt;0,J167&gt;0),"缺口／超額待處理","主崗齊；休息待現場")</x:f>
        <x:v>缺口／超額待處理</x:v>
      </x:c>
    </x:row>
    <x:row r="168" ht="42" customHeight="1">
      <x:c r="A168" s="12" t="n">
        <x:v>46320</x:v>
      </x:c>
      <x:c r="B168" s="13" t="n">
        <x:v>0.7916666666666666</x:v>
      </x:c>
      <x:c r="C168" s="13" t="n">
        <x:v>0.8125</x:v>
      </x:c>
      <x:c r="D168" s="2" t="str">
        <x:v>晚餐主崗</x:v>
      </x:c>
      <x:c r="E168" s="2" t="n">
        <x:v>7</x:v>
      </x:c>
      <x:c r="F168" s="2" t="n">
        <x:v>7</x:v>
      </x:c>
      <x:c r="G168" s="2" t="n">
        <x:f>IF(AND('班次明細'!L12&gt;0,'班次明細'!G12&lt;=B168,'班次明細'!H12&gt;=C168),1,0)+IF(AND('班次明細'!L19&gt;0,'班次明細'!G19&lt;=B168,'班次明細'!H19&gt;=C168),1,0)+IF(AND('班次明細'!L26&gt;0,'班次明細'!G26&lt;=B168,'班次明細'!H26&gt;=C168),1,0)+IF(AND('班次明細'!L33&gt;0,'班次明細'!G33&lt;=B168,'班次明細'!H33&gt;=C168),1,0)+IF(AND('班次明細'!L40&gt;0,'班次明細'!G40&lt;=B168,'班次明細'!H40&gt;=C168),1,0)+IF(AND('班次明細'!L47&gt;0,'班次明細'!G47&lt;=B168,'班次明細'!H47&gt;=C168),1,0)+IF(AND('班次明細'!L54&gt;0,'班次明細'!G54&lt;=B168,'班次明細'!H54&gt;=C168),1,0)+IF(AND('班次明細'!L61&gt;0,'班次明細'!G61&lt;=B168,'班次明細'!H61&gt;=C168),1,0)+IF(AND('班次明細'!L68&gt;0,'班次明細'!G68&lt;=B168,'班次明細'!H68&gt;=C168),1,0)+IF(AND('班次明細'!L75&gt;0,'班次明細'!G75&lt;=B168,'班次明細'!H75&gt;=C168),1,0)+IF(AND('班次明細'!L82&gt;0,'班次明細'!G82&lt;=B168,'班次明細'!H82&gt;=C168),1,0)</x:f>
        <x:v>6</x:v>
      </x:c>
      <x:c r="H168" s="2" t="n">
        <x:f>MAX(0,E168-G168)</x:f>
        <x:v>1</x:v>
      </x:c>
      <x:c r="I168" s="2" t="n">
        <x:f>IF(F168="",0,MAX(0,G168-F168))</x:f>
        <x:v>0</x:v>
      </x:c>
      <x:c r="J168" s="2" t="n">
        <x:f>IF((IF(RIGHT('班次明細'!O12,2)="外場",IF(AND('班次明細'!L12&gt;0,'班次明細'!G12&lt;=B168,'班次明細'!H12&gt;=C168),1,0),0)+IF(RIGHT('班次明細'!O19,2)="外場",IF(AND('班次明細'!L19&gt;0,'班次明細'!G19&lt;=B168,'班次明細'!H19&gt;=C168),1,0),0)+IF(RIGHT('班次明細'!O26,2)="外場",IF(AND('班次明細'!L26&gt;0,'班次明細'!G26&lt;=B168,'班次明細'!H26&gt;=C168),1,0),0)+IF(RIGHT('班次明細'!O33,2)="外場",IF(AND('班次明細'!L33&gt;0,'班次明細'!G33&lt;=B168,'班次明細'!H33&gt;=C168),1,0),0)+IF(RIGHT('班次明細'!O40,2)="外場",IF(AND('班次明細'!L40&gt;0,'班次明細'!G40&lt;=B168,'班次明細'!H40&gt;=C168),1,0),0)+IF(RIGHT('班次明細'!O47,2)="外場",IF(AND('班次明細'!L47&gt;0,'班次明細'!G47&lt;=B168,'班次明細'!H47&gt;=C168),1,0),0)+IF(RIGHT('班次明細'!O54,2)="外場",IF(AND('班次明細'!L54&gt;0,'班次明細'!G54&lt;=B168,'班次明細'!H54&gt;=C168),1,0),0)+IF(RIGHT('班次明細'!O61,2)="外場",IF(AND('班次明細'!L61&gt;0,'班次明細'!G61&lt;=B168,'班次明細'!H61&gt;=C168),1,0),0)+IF(RIGHT('班次明細'!O68,2)="外場",IF(AND('班次明細'!L68&gt;0,'班次明細'!G68&lt;=B168,'班次明細'!H68&gt;=C168),1,0),0)+IF(RIGHT('班次明細'!O75,2)="外場",IF(AND('班次明細'!L75&gt;0,'班次明細'!G75&lt;=B168,'班次明細'!H75&gt;=C168),1,0),0)+IF(RIGHT('班次明細'!O82,2)="外場",IF(AND('班次明細'!L82&gt;0,'班次明細'!G82&lt;=B168,'班次明細'!H82&gt;=C168),1,0),0))&gt;0,0,1)+IF((IF(RIGHT('班次明細'!O12,2)="吧台",IF(AND('班次明細'!L12&gt;0,'班次明細'!G12&lt;=B168,'班次明細'!H12&gt;=C168),1,0),0)+IF(RIGHT('班次明細'!O19,2)="吧台",IF(AND('班次明細'!L19&gt;0,'班次明細'!G19&lt;=B168,'班次明細'!H19&gt;=C168),1,0),0)+IF(RIGHT('班次明細'!O26,2)="吧台",IF(AND('班次明細'!L26&gt;0,'班次明細'!G26&lt;=B168,'班次明細'!H26&gt;=C168),1,0),0)+IF(RIGHT('班次明細'!O33,2)="吧台",IF(AND('班次明細'!L33&gt;0,'班次明細'!G33&lt;=B168,'班次明細'!H33&gt;=C168),1,0),0)+IF(RIGHT('班次明細'!O40,2)="吧台",IF(AND('班次明細'!L40&gt;0,'班次明細'!G40&lt;=B168,'班次明細'!H40&gt;=C168),1,0),0)+IF(RIGHT('班次明細'!O47,2)="吧台",IF(AND('班次明細'!L47&gt;0,'班次明細'!G47&lt;=B168,'班次明細'!H47&gt;=C168),1,0),0)+IF(RIGHT('班次明細'!O54,2)="吧台",IF(AND('班次明細'!L54&gt;0,'班次明細'!G54&lt;=B168,'班次明細'!H54&gt;=C168),1,0),0)+IF(RIGHT('班次明細'!O61,2)="吧台",IF(AND('班次明細'!L61&gt;0,'班次明細'!G61&lt;=B168,'班次明細'!H61&gt;=C168),1,0),0)+IF(RIGHT('班次明細'!O68,2)="吧台",IF(AND('班次明細'!L68&gt;0,'班次明細'!G68&lt;=B168,'班次明細'!H68&gt;=C168),1,0),0)+IF(RIGHT('班次明細'!O75,2)="吧台",IF(AND('班次明細'!L75&gt;0,'班次明細'!G75&lt;=B168,'班次明細'!H75&gt;=C168),1,0),0)+IF(RIGHT('班次明細'!O82,2)="吧台",IF(AND('班次明細'!L82&gt;0,'班次明細'!G82&lt;=B168,'班次明細'!H82&gt;=C168),1,0),0))&gt;0,0,1)+IF((IF(RIGHT('班次明細'!O12,2)="司爐",IF(AND('班次明細'!L12&gt;0,'班次明細'!G12&lt;=B168,'班次明細'!H12&gt;=C168),1,0),0)+IF(RIGHT('班次明細'!O19,2)="司爐",IF(AND('班次明細'!L19&gt;0,'班次明細'!G19&lt;=B168,'班次明細'!H19&gt;=C168),1,0),0)+IF(RIGHT('班次明細'!O26,2)="司爐",IF(AND('班次明細'!L26&gt;0,'班次明細'!G26&lt;=B168,'班次明細'!H26&gt;=C168),1,0),0)+IF(RIGHT('班次明細'!O33,2)="司爐",IF(AND('班次明細'!L33&gt;0,'班次明細'!G33&lt;=B168,'班次明細'!H33&gt;=C168),1,0),0)+IF(RIGHT('班次明細'!O40,2)="司爐",IF(AND('班次明細'!L40&gt;0,'班次明細'!G40&lt;=B168,'班次明細'!H40&gt;=C168),1,0),0)+IF(RIGHT('班次明細'!O47,2)="司爐",IF(AND('班次明細'!L47&gt;0,'班次明細'!G47&lt;=B168,'班次明細'!H47&gt;=C168),1,0),0)+IF(RIGHT('班次明細'!O54,2)="司爐",IF(AND('班次明細'!L54&gt;0,'班次明細'!G54&lt;=B168,'班次明細'!H54&gt;=C168),1,0),0)+IF(RIGHT('班次明細'!O61,2)="司爐",IF(AND('班次明細'!L61&gt;0,'班次明細'!G61&lt;=B168,'班次明細'!H61&gt;=C168),1,0),0)+IF(RIGHT('班次明細'!O68,2)="司爐",IF(AND('班次明細'!L68&gt;0,'班次明細'!G68&lt;=B168,'班次明細'!H68&gt;=C168),1,0),0)+IF(RIGHT('班次明細'!O75,2)="司爐",IF(AND('班次明細'!L75&gt;0,'班次明細'!G75&lt;=B168,'班次明細'!H75&gt;=C168),1,0),0)+IF(RIGHT('班次明細'!O82,2)="司爐",IF(AND('班次明細'!L82&gt;0,'班次明細'!G82&lt;=B168,'班次明細'!H82&gt;=C168),1,0),0))&gt;0,0,1)+IF((IF(RIGHT('班次明細'!O12,2)="料區",IF(AND('班次明細'!L12&gt;0,'班次明細'!G12&lt;=B168,'班次明細'!H12&gt;=C168),1,0),0)+IF(RIGHT('班次明細'!O19,2)="料區",IF(AND('班次明細'!L19&gt;0,'班次明細'!G19&lt;=B168,'班次明細'!H19&gt;=C168),1,0),0)+IF(RIGHT('班次明細'!O26,2)="料區",IF(AND('班次明細'!L26&gt;0,'班次明細'!G26&lt;=B168,'班次明細'!H26&gt;=C168),1,0),0)+IF(RIGHT('班次明細'!O33,2)="料區",IF(AND('班次明細'!L33&gt;0,'班次明細'!G33&lt;=B168,'班次明細'!H33&gt;=C168),1,0),0)+IF(RIGHT('班次明細'!O40,2)="料區",IF(AND('班次明細'!L40&gt;0,'班次明細'!G40&lt;=B168,'班次明細'!H40&gt;=C168),1,0),0)+IF(RIGHT('班次明細'!O47,2)="料區",IF(AND('班次明細'!L47&gt;0,'班次明細'!G47&lt;=B168,'班次明細'!H47&gt;=C168),1,0),0)+IF(RIGHT('班次明細'!O54,2)="料區",IF(AND('班次明細'!L54&gt;0,'班次明細'!G54&lt;=B168,'班次明細'!H54&gt;=C168),1,0),0)+IF(RIGHT('班次明細'!O61,2)="料區",IF(AND('班次明細'!L61&gt;0,'班次明細'!G61&lt;=B168,'班次明細'!H61&gt;=C168),1,0),0)+IF(RIGHT('班次明細'!O68,2)="料區",IF(AND('班次明細'!L68&gt;0,'班次明細'!G68&lt;=B168,'班次明細'!H68&gt;=C168),1,0),0)+IF(RIGHT('班次明細'!O75,2)="料區",IF(AND('班次明細'!L75&gt;0,'班次明細'!G75&lt;=B168,'班次明細'!H75&gt;=C168),1,0),0)+IF(RIGHT('班次明細'!O82,2)="料區",IF(AND('班次明細'!L82&gt;0,'班次明細'!G82&lt;=B168,'班次明細'!H82&gt;=C168),1,0),0))&gt;0,0,1)+IF((IF(RIGHT('班次明細'!O12,2)="炸區",IF(AND('班次明細'!L12&gt;0,'班次明細'!G12&lt;=B168,'班次明細'!H12&gt;=C168),1,0),0)+IF(RIGHT('班次明細'!O19,2)="炸區",IF(AND('班次明細'!L19&gt;0,'班次明細'!G19&lt;=B168,'班次明細'!H19&gt;=C168),1,0),0)+IF(RIGHT('班次明細'!O26,2)="炸區",IF(AND('班次明細'!L26&gt;0,'班次明細'!G26&lt;=B168,'班次明細'!H26&gt;=C168),1,0),0)+IF(RIGHT('班次明細'!O33,2)="炸區",IF(AND('班次明細'!L33&gt;0,'班次明細'!G33&lt;=B168,'班次明細'!H33&gt;=C168),1,0),0)+IF(RIGHT('班次明細'!O40,2)="炸區",IF(AND('班次明細'!L40&gt;0,'班次明細'!G40&lt;=B168,'班次明細'!H40&gt;=C168),1,0),0)+IF(RIGHT('班次明細'!O47,2)="炸區",IF(AND('班次明細'!L47&gt;0,'班次明細'!G47&lt;=B168,'班次明細'!H47&gt;=C168),1,0),0)+IF(RIGHT('班次明細'!O54,2)="炸區",IF(AND('班次明細'!L54&gt;0,'班次明細'!G54&lt;=B168,'班次明細'!H54&gt;=C168),1,0),0)+IF(RIGHT('班次明細'!O61,2)="炸區",IF(AND('班次明細'!L61&gt;0,'班次明細'!G61&lt;=B168,'班次明細'!H61&gt;=C168),1,0),0)+IF(RIGHT('班次明細'!O68,2)="炸區",IF(AND('班次明細'!L68&gt;0,'班次明細'!G68&lt;=B168,'班次明細'!H68&gt;=C168),1,0),0)+IF(RIGHT('班次明細'!O75,2)="炸區",IF(AND('班次明細'!L75&gt;0,'班次明細'!G75&lt;=B168,'班次明細'!H75&gt;=C168),1,0),0)+IF(RIGHT('班次明細'!O82,2)="炸區",IF(AND('班次明細'!L82&gt;0,'班次明細'!G82&lt;=B168,'班次明細'!H82&gt;=C168),1,0),0))&gt;0,0,1)+IF((IF(RIGHT('班次明細'!O12,2)="拍區",IF(AND('班次明細'!L12&gt;0,'班次明細'!G12&lt;=B168,'班次明細'!H12&gt;=C168),1,0),0)+IF(RIGHT('班次明細'!O19,2)="拍區",IF(AND('班次明細'!L19&gt;0,'班次明細'!G19&lt;=B168,'班次明細'!H19&gt;=C168),1,0),0)+IF(RIGHT('班次明細'!O26,2)="拍區",IF(AND('班次明細'!L26&gt;0,'班次明細'!G26&lt;=B168,'班次明細'!H26&gt;=C168),1,0),0)+IF(RIGHT('班次明細'!O33,2)="拍區",IF(AND('班次明細'!L33&gt;0,'班次明細'!G33&lt;=B168,'班次明細'!H33&gt;=C168),1,0),0)+IF(RIGHT('班次明細'!O40,2)="拍區",IF(AND('班次明細'!L40&gt;0,'班次明細'!G40&lt;=B168,'班次明細'!H40&gt;=C168),1,0),0)+IF(RIGHT('班次明細'!O47,2)="拍區",IF(AND('班次明細'!L47&gt;0,'班次明細'!G47&lt;=B168,'班次明細'!H47&gt;=C168),1,0),0)+IF(RIGHT('班次明細'!O54,2)="拍區",IF(AND('班次明細'!L54&gt;0,'班次明細'!G54&lt;=B168,'班次明細'!H54&gt;=C168),1,0),0)+IF(RIGHT('班次明細'!O61,2)="拍區",IF(AND('班次明細'!L61&gt;0,'班次明細'!G61&lt;=B168,'班次明細'!H61&gt;=C168),1,0),0)+IF(RIGHT('班次明細'!O68,2)="拍區",IF(AND('班次明細'!L68&gt;0,'班次明細'!G68&lt;=B168,'班次明細'!H68&gt;=C168),1,0),0)+IF(RIGHT('班次明細'!O75,2)="拍區",IF(AND('班次明細'!L75&gt;0,'班次明細'!G75&lt;=B168,'班次明細'!H75&gt;=C168),1,0),0)+IF(RIGHT('班次明細'!O82,2)="拍區",IF(AND('班次明細'!L82&gt;0,'班次明細'!G82&lt;=B168,'班次明細'!H82&gt;=C168),1,0),0))&gt;0,0,1)+IF((IF(RIGHT('班次明細'!O12,2)="控場",IF(AND('班次明細'!L12&gt;0,'班次明細'!G12&lt;=B168,'班次明細'!H12&gt;=C168),1,0),0)+IF(RIGHT('班次明細'!O19,2)="控場",IF(AND('班次明細'!L19&gt;0,'班次明細'!G19&lt;=B168,'班次明細'!H19&gt;=C168),1,0),0)+IF(RIGHT('班次明細'!O26,2)="控場",IF(AND('班次明細'!L26&gt;0,'班次明細'!G26&lt;=B168,'班次明細'!H26&gt;=C168),1,0),0)+IF(RIGHT('班次明細'!O33,2)="控場",IF(AND('班次明細'!L33&gt;0,'班次明細'!G33&lt;=B168,'班次明細'!H33&gt;=C168),1,0),0)+IF(RIGHT('班次明細'!O40,2)="控場",IF(AND('班次明細'!L40&gt;0,'班次明細'!G40&lt;=B168,'班次明細'!H40&gt;=C168),1,0),0)+IF(RIGHT('班次明細'!O47,2)="控場",IF(AND('班次明細'!L47&gt;0,'班次明細'!G47&lt;=B168,'班次明細'!H47&gt;=C168),1,0),0)+IF(RIGHT('班次明細'!O54,2)="控場",IF(AND('班次明細'!L54&gt;0,'班次明細'!G54&lt;=B168,'班次明細'!H54&gt;=C168),1,0),0)+IF(RIGHT('班次明細'!O61,2)="控場",IF(AND('班次明細'!L61&gt;0,'班次明細'!G61&lt;=B168,'班次明細'!H61&gt;=C168),1,0),0)+IF(RIGHT('班次明細'!O68,2)="控場",IF(AND('班次明細'!L68&gt;0,'班次明細'!G68&lt;=B168,'班次明細'!H68&gt;=C168),1,0),0)+IF(RIGHT('班次明細'!O75,2)="控場",IF(AND('班次明細'!L75&gt;0,'班次明細'!G75&lt;=B168,'班次明細'!H75&gt;=C168),1,0),0)+IF(RIGHT('班次明細'!O82,2)="控場",IF(AND('班次明細'!L82&gt;0,'班次明細'!G82&lt;=B168,'班次明細'!H82&gt;=C168),1,0),0))&gt;0,0,1)</x:f>
        <x:v>2</x:v>
      </x:c>
      <x:c r="K168" s="11" t="str">
        <x:v>P02:外場；P03:吧台；P05:炸區；P07:外場；P09:司爐；P10:拍區</x:v>
      </x:c>
      <x:c r="L168" s="11" t="str">
        <x:f>IF(OR(H168&gt;0,I168&gt;0,J168&gt;0),"缺口／超額待處理","主崗齊；休息待現場")</x:f>
        <x:v>缺口／超額待處理</x:v>
      </x:c>
    </x:row>
    <x:row r="169" ht="42" customHeight="1">
      <x:c r="A169" s="12" t="n">
        <x:v>46320</x:v>
      </x:c>
      <x:c r="B169" s="13" t="n">
        <x:v>0.8125</x:v>
      </x:c>
      <x:c r="C169" s="13" t="n">
        <x:v>0.8333333333333334</x:v>
      </x:c>
      <x:c r="D169" s="2" t="str">
        <x:v>晚餐主崗</x:v>
      </x:c>
      <x:c r="E169" s="2" t="n">
        <x:v>7</x:v>
      </x:c>
      <x:c r="F169" s="2" t="n">
        <x:v>7</x:v>
      </x:c>
      <x:c r="G169" s="2" t="n">
        <x:f>IF(AND('班次明細'!L12&gt;0,'班次明細'!G12&lt;=B169,'班次明細'!H12&gt;=C169),1,0)+IF(AND('班次明細'!L19&gt;0,'班次明細'!G19&lt;=B169,'班次明細'!H19&gt;=C169),1,0)+IF(AND('班次明細'!L26&gt;0,'班次明細'!G26&lt;=B169,'班次明細'!H26&gt;=C169),1,0)+IF(AND('班次明細'!L33&gt;0,'班次明細'!G33&lt;=B169,'班次明細'!H33&gt;=C169),1,0)+IF(AND('班次明細'!L40&gt;0,'班次明細'!G40&lt;=B169,'班次明細'!H40&gt;=C169),1,0)+IF(AND('班次明細'!L47&gt;0,'班次明細'!G47&lt;=B169,'班次明細'!H47&gt;=C169),1,0)+IF(AND('班次明細'!L54&gt;0,'班次明細'!G54&lt;=B169,'班次明細'!H54&gt;=C169),1,0)+IF(AND('班次明細'!L61&gt;0,'班次明細'!G61&lt;=B169,'班次明細'!H61&gt;=C169),1,0)+IF(AND('班次明細'!L68&gt;0,'班次明細'!G68&lt;=B169,'班次明細'!H68&gt;=C169),1,0)+IF(AND('班次明細'!L75&gt;0,'班次明細'!G75&lt;=B169,'班次明細'!H75&gt;=C169),1,0)+IF(AND('班次明細'!L82&gt;0,'班次明細'!G82&lt;=B169,'班次明細'!H82&gt;=C169),1,0)</x:f>
        <x:v>6</x:v>
      </x:c>
      <x:c r="H169" s="2" t="n">
        <x:f>MAX(0,E169-G169)</x:f>
        <x:v>1</x:v>
      </x:c>
      <x:c r="I169" s="2" t="n">
        <x:f>IF(F169="",0,MAX(0,G169-F169))</x:f>
        <x:v>0</x:v>
      </x:c>
      <x:c r="J169" s="2" t="n">
        <x:f>IF((IF(RIGHT('班次明細'!O12,2)="外場",IF(AND('班次明細'!L12&gt;0,'班次明細'!G12&lt;=B169,'班次明細'!H12&gt;=C169),1,0),0)+IF(RIGHT('班次明細'!O19,2)="外場",IF(AND('班次明細'!L19&gt;0,'班次明細'!G19&lt;=B169,'班次明細'!H19&gt;=C169),1,0),0)+IF(RIGHT('班次明細'!O26,2)="外場",IF(AND('班次明細'!L26&gt;0,'班次明細'!G26&lt;=B169,'班次明細'!H26&gt;=C169),1,0),0)+IF(RIGHT('班次明細'!O33,2)="外場",IF(AND('班次明細'!L33&gt;0,'班次明細'!G33&lt;=B169,'班次明細'!H33&gt;=C169),1,0),0)+IF(RIGHT('班次明細'!O40,2)="外場",IF(AND('班次明細'!L40&gt;0,'班次明細'!G40&lt;=B169,'班次明細'!H40&gt;=C169),1,0),0)+IF(RIGHT('班次明細'!O47,2)="外場",IF(AND('班次明細'!L47&gt;0,'班次明細'!G47&lt;=B169,'班次明細'!H47&gt;=C169),1,0),0)+IF(RIGHT('班次明細'!O54,2)="外場",IF(AND('班次明細'!L54&gt;0,'班次明細'!G54&lt;=B169,'班次明細'!H54&gt;=C169),1,0),0)+IF(RIGHT('班次明細'!O61,2)="外場",IF(AND('班次明細'!L61&gt;0,'班次明細'!G61&lt;=B169,'班次明細'!H61&gt;=C169),1,0),0)+IF(RIGHT('班次明細'!O68,2)="外場",IF(AND('班次明細'!L68&gt;0,'班次明細'!G68&lt;=B169,'班次明細'!H68&gt;=C169),1,0),0)+IF(RIGHT('班次明細'!O75,2)="外場",IF(AND('班次明細'!L75&gt;0,'班次明細'!G75&lt;=B169,'班次明細'!H75&gt;=C169),1,0),0)+IF(RIGHT('班次明細'!O82,2)="外場",IF(AND('班次明細'!L82&gt;0,'班次明細'!G82&lt;=B169,'班次明細'!H82&gt;=C169),1,0),0))&gt;0,0,1)+IF((IF(RIGHT('班次明細'!O12,2)="吧台",IF(AND('班次明細'!L12&gt;0,'班次明細'!G12&lt;=B169,'班次明細'!H12&gt;=C169),1,0),0)+IF(RIGHT('班次明細'!O19,2)="吧台",IF(AND('班次明細'!L19&gt;0,'班次明細'!G19&lt;=B169,'班次明細'!H19&gt;=C169),1,0),0)+IF(RIGHT('班次明細'!O26,2)="吧台",IF(AND('班次明細'!L26&gt;0,'班次明細'!G26&lt;=B169,'班次明細'!H26&gt;=C169),1,0),0)+IF(RIGHT('班次明細'!O33,2)="吧台",IF(AND('班次明細'!L33&gt;0,'班次明細'!G33&lt;=B169,'班次明細'!H33&gt;=C169),1,0),0)+IF(RIGHT('班次明細'!O40,2)="吧台",IF(AND('班次明細'!L40&gt;0,'班次明細'!G40&lt;=B169,'班次明細'!H40&gt;=C169),1,0),0)+IF(RIGHT('班次明細'!O47,2)="吧台",IF(AND('班次明細'!L47&gt;0,'班次明細'!G47&lt;=B169,'班次明細'!H47&gt;=C169),1,0),0)+IF(RIGHT('班次明細'!O54,2)="吧台",IF(AND('班次明細'!L54&gt;0,'班次明細'!G54&lt;=B169,'班次明細'!H54&gt;=C169),1,0),0)+IF(RIGHT('班次明細'!O61,2)="吧台",IF(AND('班次明細'!L61&gt;0,'班次明細'!G61&lt;=B169,'班次明細'!H61&gt;=C169),1,0),0)+IF(RIGHT('班次明細'!O68,2)="吧台",IF(AND('班次明細'!L68&gt;0,'班次明細'!G68&lt;=B169,'班次明細'!H68&gt;=C169),1,0),0)+IF(RIGHT('班次明細'!O75,2)="吧台",IF(AND('班次明細'!L75&gt;0,'班次明細'!G75&lt;=B169,'班次明細'!H75&gt;=C169),1,0),0)+IF(RIGHT('班次明細'!O82,2)="吧台",IF(AND('班次明細'!L82&gt;0,'班次明細'!G82&lt;=B169,'班次明細'!H82&gt;=C169),1,0),0))&gt;0,0,1)+IF((IF(RIGHT('班次明細'!O12,2)="司爐",IF(AND('班次明細'!L12&gt;0,'班次明細'!G12&lt;=B169,'班次明細'!H12&gt;=C169),1,0),0)+IF(RIGHT('班次明細'!O19,2)="司爐",IF(AND('班次明細'!L19&gt;0,'班次明細'!G19&lt;=B169,'班次明細'!H19&gt;=C169),1,0),0)+IF(RIGHT('班次明細'!O26,2)="司爐",IF(AND('班次明細'!L26&gt;0,'班次明細'!G26&lt;=B169,'班次明細'!H26&gt;=C169),1,0),0)+IF(RIGHT('班次明細'!O33,2)="司爐",IF(AND('班次明細'!L33&gt;0,'班次明細'!G33&lt;=B169,'班次明細'!H33&gt;=C169),1,0),0)+IF(RIGHT('班次明細'!O40,2)="司爐",IF(AND('班次明細'!L40&gt;0,'班次明細'!G40&lt;=B169,'班次明細'!H40&gt;=C169),1,0),0)+IF(RIGHT('班次明細'!O47,2)="司爐",IF(AND('班次明細'!L47&gt;0,'班次明細'!G47&lt;=B169,'班次明細'!H47&gt;=C169),1,0),0)+IF(RIGHT('班次明細'!O54,2)="司爐",IF(AND('班次明細'!L54&gt;0,'班次明細'!G54&lt;=B169,'班次明細'!H54&gt;=C169),1,0),0)+IF(RIGHT('班次明細'!O61,2)="司爐",IF(AND('班次明細'!L61&gt;0,'班次明細'!G61&lt;=B169,'班次明細'!H61&gt;=C169),1,0),0)+IF(RIGHT('班次明細'!O68,2)="司爐",IF(AND('班次明細'!L68&gt;0,'班次明細'!G68&lt;=B169,'班次明細'!H68&gt;=C169),1,0),0)+IF(RIGHT('班次明細'!O75,2)="司爐",IF(AND('班次明細'!L75&gt;0,'班次明細'!G75&lt;=B169,'班次明細'!H75&gt;=C169),1,0),0)+IF(RIGHT('班次明細'!O82,2)="司爐",IF(AND('班次明細'!L82&gt;0,'班次明細'!G82&lt;=B169,'班次明細'!H82&gt;=C169),1,0),0))&gt;0,0,1)+IF((IF(RIGHT('班次明細'!O12,2)="料區",IF(AND('班次明細'!L12&gt;0,'班次明細'!G12&lt;=B169,'班次明細'!H12&gt;=C169),1,0),0)+IF(RIGHT('班次明細'!O19,2)="料區",IF(AND('班次明細'!L19&gt;0,'班次明細'!G19&lt;=B169,'班次明細'!H19&gt;=C169),1,0),0)+IF(RIGHT('班次明細'!O26,2)="料區",IF(AND('班次明細'!L26&gt;0,'班次明細'!G26&lt;=B169,'班次明細'!H26&gt;=C169),1,0),0)+IF(RIGHT('班次明細'!O33,2)="料區",IF(AND('班次明細'!L33&gt;0,'班次明細'!G33&lt;=B169,'班次明細'!H33&gt;=C169),1,0),0)+IF(RIGHT('班次明細'!O40,2)="料區",IF(AND('班次明細'!L40&gt;0,'班次明細'!G40&lt;=B169,'班次明細'!H40&gt;=C169),1,0),0)+IF(RIGHT('班次明細'!O47,2)="料區",IF(AND('班次明細'!L47&gt;0,'班次明細'!G47&lt;=B169,'班次明細'!H47&gt;=C169),1,0),0)+IF(RIGHT('班次明細'!O54,2)="料區",IF(AND('班次明細'!L54&gt;0,'班次明細'!G54&lt;=B169,'班次明細'!H54&gt;=C169),1,0),0)+IF(RIGHT('班次明細'!O61,2)="料區",IF(AND('班次明細'!L61&gt;0,'班次明細'!G61&lt;=B169,'班次明細'!H61&gt;=C169),1,0),0)+IF(RIGHT('班次明細'!O68,2)="料區",IF(AND('班次明細'!L68&gt;0,'班次明細'!G68&lt;=B169,'班次明細'!H68&gt;=C169),1,0),0)+IF(RIGHT('班次明細'!O75,2)="料區",IF(AND('班次明細'!L75&gt;0,'班次明細'!G75&lt;=B169,'班次明細'!H75&gt;=C169),1,0),0)+IF(RIGHT('班次明細'!O82,2)="料區",IF(AND('班次明細'!L82&gt;0,'班次明細'!G82&lt;=B169,'班次明細'!H82&gt;=C169),1,0),0))&gt;0,0,1)+IF((IF(RIGHT('班次明細'!O12,2)="炸區",IF(AND('班次明細'!L12&gt;0,'班次明細'!G12&lt;=B169,'班次明細'!H12&gt;=C169),1,0),0)+IF(RIGHT('班次明細'!O19,2)="炸區",IF(AND('班次明細'!L19&gt;0,'班次明細'!G19&lt;=B169,'班次明細'!H19&gt;=C169),1,0),0)+IF(RIGHT('班次明細'!O26,2)="炸區",IF(AND('班次明細'!L26&gt;0,'班次明細'!G26&lt;=B169,'班次明細'!H26&gt;=C169),1,0),0)+IF(RIGHT('班次明細'!O33,2)="炸區",IF(AND('班次明細'!L33&gt;0,'班次明細'!G33&lt;=B169,'班次明細'!H33&gt;=C169),1,0),0)+IF(RIGHT('班次明細'!O40,2)="炸區",IF(AND('班次明細'!L40&gt;0,'班次明細'!G40&lt;=B169,'班次明細'!H40&gt;=C169),1,0),0)+IF(RIGHT('班次明細'!O47,2)="炸區",IF(AND('班次明細'!L47&gt;0,'班次明細'!G47&lt;=B169,'班次明細'!H47&gt;=C169),1,0),0)+IF(RIGHT('班次明細'!O54,2)="炸區",IF(AND('班次明細'!L54&gt;0,'班次明細'!G54&lt;=B169,'班次明細'!H54&gt;=C169),1,0),0)+IF(RIGHT('班次明細'!O61,2)="炸區",IF(AND('班次明細'!L61&gt;0,'班次明細'!G61&lt;=B169,'班次明細'!H61&gt;=C169),1,0),0)+IF(RIGHT('班次明細'!O68,2)="炸區",IF(AND('班次明細'!L68&gt;0,'班次明細'!G68&lt;=B169,'班次明細'!H68&gt;=C169),1,0),0)+IF(RIGHT('班次明細'!O75,2)="炸區",IF(AND('班次明細'!L75&gt;0,'班次明細'!G75&lt;=B169,'班次明細'!H75&gt;=C169),1,0),0)+IF(RIGHT('班次明細'!O82,2)="炸區",IF(AND('班次明細'!L82&gt;0,'班次明細'!G82&lt;=B169,'班次明細'!H82&gt;=C169),1,0),0))&gt;0,0,1)+IF((IF(RIGHT('班次明細'!O12,2)="拍區",IF(AND('班次明細'!L12&gt;0,'班次明細'!G12&lt;=B169,'班次明細'!H12&gt;=C169),1,0),0)+IF(RIGHT('班次明細'!O19,2)="拍區",IF(AND('班次明細'!L19&gt;0,'班次明細'!G19&lt;=B169,'班次明細'!H19&gt;=C169),1,0),0)+IF(RIGHT('班次明細'!O26,2)="拍區",IF(AND('班次明細'!L26&gt;0,'班次明細'!G26&lt;=B169,'班次明細'!H26&gt;=C169),1,0),0)+IF(RIGHT('班次明細'!O33,2)="拍區",IF(AND('班次明細'!L33&gt;0,'班次明細'!G33&lt;=B169,'班次明細'!H33&gt;=C169),1,0),0)+IF(RIGHT('班次明細'!O40,2)="拍區",IF(AND('班次明細'!L40&gt;0,'班次明細'!G40&lt;=B169,'班次明細'!H40&gt;=C169),1,0),0)+IF(RIGHT('班次明細'!O47,2)="拍區",IF(AND('班次明細'!L47&gt;0,'班次明細'!G47&lt;=B169,'班次明細'!H47&gt;=C169),1,0),0)+IF(RIGHT('班次明細'!O54,2)="拍區",IF(AND('班次明細'!L54&gt;0,'班次明細'!G54&lt;=B169,'班次明細'!H54&gt;=C169),1,0),0)+IF(RIGHT('班次明細'!O61,2)="拍區",IF(AND('班次明細'!L61&gt;0,'班次明細'!G61&lt;=B169,'班次明細'!H61&gt;=C169),1,0),0)+IF(RIGHT('班次明細'!O68,2)="拍區",IF(AND('班次明細'!L68&gt;0,'班次明細'!G68&lt;=B169,'班次明細'!H68&gt;=C169),1,0),0)+IF(RIGHT('班次明細'!O75,2)="拍區",IF(AND('班次明細'!L75&gt;0,'班次明細'!G75&lt;=B169,'班次明細'!H75&gt;=C169),1,0),0)+IF(RIGHT('班次明細'!O82,2)="拍區",IF(AND('班次明細'!L82&gt;0,'班次明細'!G82&lt;=B169,'班次明細'!H82&gt;=C169),1,0),0))&gt;0,0,1)+IF((IF(RIGHT('班次明細'!O12,2)="控場",IF(AND('班次明細'!L12&gt;0,'班次明細'!G12&lt;=B169,'班次明細'!H12&gt;=C169),1,0),0)+IF(RIGHT('班次明細'!O19,2)="控場",IF(AND('班次明細'!L19&gt;0,'班次明細'!G19&lt;=B169,'班次明細'!H19&gt;=C169),1,0),0)+IF(RIGHT('班次明細'!O26,2)="控場",IF(AND('班次明細'!L26&gt;0,'班次明細'!G26&lt;=B169,'班次明細'!H26&gt;=C169),1,0),0)+IF(RIGHT('班次明細'!O33,2)="控場",IF(AND('班次明細'!L33&gt;0,'班次明細'!G33&lt;=B169,'班次明細'!H33&gt;=C169),1,0),0)+IF(RIGHT('班次明細'!O40,2)="控場",IF(AND('班次明細'!L40&gt;0,'班次明細'!G40&lt;=B169,'班次明細'!H40&gt;=C169),1,0),0)+IF(RIGHT('班次明細'!O47,2)="控場",IF(AND('班次明細'!L47&gt;0,'班次明細'!G47&lt;=B169,'班次明細'!H47&gt;=C169),1,0),0)+IF(RIGHT('班次明細'!O54,2)="控場",IF(AND('班次明細'!L54&gt;0,'班次明細'!G54&lt;=B169,'班次明細'!H54&gt;=C169),1,0),0)+IF(RIGHT('班次明細'!O61,2)="控場",IF(AND('班次明細'!L61&gt;0,'班次明細'!G61&lt;=B169,'班次明細'!H61&gt;=C169),1,0),0)+IF(RIGHT('班次明細'!O68,2)="控場",IF(AND('班次明細'!L68&gt;0,'班次明細'!G68&lt;=B169,'班次明細'!H68&gt;=C169),1,0),0)+IF(RIGHT('班次明細'!O75,2)="控場",IF(AND('班次明細'!L75&gt;0,'班次明細'!G75&lt;=B169,'班次明細'!H75&gt;=C169),1,0),0)+IF(RIGHT('班次明細'!O82,2)="控場",IF(AND('班次明細'!L82&gt;0,'班次明細'!G82&lt;=B169,'班次明細'!H82&gt;=C169),1,0),0))&gt;0,0,1)</x:f>
        <x:v>2</x:v>
      </x:c>
      <x:c r="K169" s="11" t="str">
        <x:v>P02:外場；P03:吧台；P05:炸區；P07:外場；P09:司爐；P10:拍區</x:v>
      </x:c>
      <x:c r="L169" s="11" t="str">
        <x:f>IF(OR(H169&gt;0,I169&gt;0,J169&gt;0),"缺口／超額待處理","主崗齊；休息待現場")</x:f>
        <x:v>缺口／超額待處理</x:v>
      </x:c>
    </x:row>
    <x:row r="170" ht="42" customHeight="1">
      <x:c r="A170" s="12" t="n">
        <x:v>46320</x:v>
      </x:c>
      <x:c r="B170" s="13" t="n">
        <x:v>0.8333333333333334</x:v>
      </x:c>
      <x:c r="C170" s="13" t="n">
        <x:v>0.8541666666666666</x:v>
      </x:c>
      <x:c r="D170" s="2" t="str">
        <x:v>營運參考</x:v>
      </x:c>
      <x:c r="E170" s="2" t="n">
        <x:v>0</x:v>
      </x:c>
      <x:c r="F170" s="2"/>
      <x:c r="G170" s="2" t="n">
        <x:f>IF(AND('班次明細'!L12&gt;0,'班次明細'!G12&lt;=B170,'班次明細'!H12&gt;=C170),1,0)+IF(AND('班次明細'!L19&gt;0,'班次明細'!G19&lt;=B170,'班次明細'!H19&gt;=C170),1,0)+IF(AND('班次明細'!L26&gt;0,'班次明細'!G26&lt;=B170,'班次明細'!H26&gt;=C170),1,0)+IF(AND('班次明細'!L33&gt;0,'班次明細'!G33&lt;=B170,'班次明細'!H33&gt;=C170),1,0)+IF(AND('班次明細'!L40&gt;0,'班次明細'!G40&lt;=B170,'班次明細'!H40&gt;=C170),1,0)+IF(AND('班次明細'!L47&gt;0,'班次明細'!G47&lt;=B170,'班次明細'!H47&gt;=C170),1,0)+IF(AND('班次明細'!L54&gt;0,'班次明細'!G54&lt;=B170,'班次明細'!H54&gt;=C170),1,0)+IF(AND('班次明細'!L61&gt;0,'班次明細'!G61&lt;=B170,'班次明細'!H61&gt;=C170),1,0)+IF(AND('班次明細'!L68&gt;0,'班次明細'!G68&lt;=B170,'班次明細'!H68&gt;=C170),1,0)+IF(AND('班次明細'!L75&gt;0,'班次明細'!G75&lt;=B170,'班次明細'!H75&gt;=C170),1,0)+IF(AND('班次明細'!L82&gt;0,'班次明細'!G82&lt;=B170,'班次明細'!H82&gt;=C170),1,0)</x:f>
        <x:v>6</x:v>
      </x:c>
      <x:c r="H170" s="2" t="n">
        <x:f>MAX(0,E170-G170)</x:f>
        <x:v>0</x:v>
      </x:c>
      <x:c r="I170" s="2" t="n">
        <x:f>IF(F170="",0,MAX(0,G170-F170))</x:f>
        <x:v>0</x:v>
      </x:c>
      <x:c r="J170" s="2" t="n">
        <x:v>0</x:v>
      </x:c>
      <x:c r="K170" s="11" t="str">
        <x:v>—</x:v>
      </x:c>
      <x:c r="L170" s="11" t="str">
        <x:f>"營運參考"</x:f>
        <x:v>營運參考</x:v>
      </x:c>
    </x:row>
    <x:row r="171" ht="42" customHeight="1">
      <x:c r="A171" s="12" t="n">
        <x:v>46320</x:v>
      </x:c>
      <x:c r="B171" s="13" t="n">
        <x:v>0.8541666666666666</x:v>
      </x:c>
      <x:c r="C171" s="13" t="n">
        <x:v>0.875</x:v>
      </x:c>
      <x:c r="D171" s="2" t="str">
        <x:v>營運參考</x:v>
      </x:c>
      <x:c r="E171" s="2" t="n">
        <x:v>0</x:v>
      </x:c>
      <x:c r="F171" s="2"/>
      <x:c r="G171" s="2" t="n">
        <x:f>IF(AND('班次明細'!L12&gt;0,'班次明細'!G12&lt;=B171,'班次明細'!H12&gt;=C171),1,0)+IF(AND('班次明細'!L19&gt;0,'班次明細'!G19&lt;=B171,'班次明細'!H19&gt;=C171),1,0)+IF(AND('班次明細'!L26&gt;0,'班次明細'!G26&lt;=B171,'班次明細'!H26&gt;=C171),1,0)+IF(AND('班次明細'!L33&gt;0,'班次明細'!G33&lt;=B171,'班次明細'!H33&gt;=C171),1,0)+IF(AND('班次明細'!L40&gt;0,'班次明細'!G40&lt;=B171,'班次明細'!H40&gt;=C171),1,0)+IF(AND('班次明細'!L47&gt;0,'班次明細'!G47&lt;=B171,'班次明細'!H47&gt;=C171),1,0)+IF(AND('班次明細'!L54&gt;0,'班次明細'!G54&lt;=B171,'班次明細'!H54&gt;=C171),1,0)+IF(AND('班次明細'!L61&gt;0,'班次明細'!G61&lt;=B171,'班次明細'!H61&gt;=C171),1,0)+IF(AND('班次明細'!L68&gt;0,'班次明細'!G68&lt;=B171,'班次明細'!H68&gt;=C171),1,0)+IF(AND('班次明細'!L75&gt;0,'班次明細'!G75&lt;=B171,'班次明細'!H75&gt;=C171),1,0)+IF(AND('班次明細'!L82&gt;0,'班次明細'!G82&lt;=B171,'班次明細'!H82&gt;=C171),1,0)</x:f>
        <x:v>6</x:v>
      </x:c>
      <x:c r="H171" s="2" t="n">
        <x:f>MAX(0,E171-G171)</x:f>
        <x:v>0</x:v>
      </x:c>
      <x:c r="I171" s="2" t="n">
        <x:f>IF(F171="",0,MAX(0,G171-F171))</x:f>
        <x:v>0</x:v>
      </x:c>
      <x:c r="J171" s="2" t="n">
        <x:v>0</x:v>
      </x:c>
      <x:c r="K171" s="11" t="str">
        <x:v>—</x:v>
      </x:c>
      <x:c r="L171" s="11" t="str">
        <x:f>"營運參考"</x:f>
        <x:v>營運參考</x:v>
      </x:c>
    </x:row>
    <x:row r="172" ht="42" customHeight="1">
      <x:c r="A172" s="12" t="n">
        <x:v>46320</x:v>
      </x:c>
      <x:c r="B172" s="13" t="n">
        <x:v>0.875</x:v>
      </x:c>
      <x:c r="C172" s="13" t="n">
        <x:v>0.8958333333333334</x:v>
      </x:c>
      <x:c r="D172" s="2" t="str">
        <x:v>營運參考</x:v>
      </x:c>
      <x:c r="E172" s="2" t="n">
        <x:v>0</x:v>
      </x:c>
      <x:c r="F172" s="2"/>
      <x:c r="G172" s="2" t="n">
        <x:f>IF(AND('班次明細'!L12&gt;0,'班次明細'!G12&lt;=B172,'班次明細'!H12&gt;=C172),1,0)+IF(AND('班次明細'!L19&gt;0,'班次明細'!G19&lt;=B172,'班次明細'!H19&gt;=C172),1,0)+IF(AND('班次明細'!L26&gt;0,'班次明細'!G26&lt;=B172,'班次明細'!H26&gt;=C172),1,0)+IF(AND('班次明細'!L33&gt;0,'班次明細'!G33&lt;=B172,'班次明細'!H33&gt;=C172),1,0)+IF(AND('班次明細'!L40&gt;0,'班次明細'!G40&lt;=B172,'班次明細'!H40&gt;=C172),1,0)+IF(AND('班次明細'!L47&gt;0,'班次明細'!G47&lt;=B172,'班次明細'!H47&gt;=C172),1,0)+IF(AND('班次明細'!L54&gt;0,'班次明細'!G54&lt;=B172,'班次明細'!H54&gt;=C172),1,0)+IF(AND('班次明細'!L61&gt;0,'班次明細'!G61&lt;=B172,'班次明細'!H61&gt;=C172),1,0)+IF(AND('班次明細'!L68&gt;0,'班次明細'!G68&lt;=B172,'班次明細'!H68&gt;=C172),1,0)+IF(AND('班次明細'!L75&gt;0,'班次明細'!G75&lt;=B172,'班次明細'!H75&gt;=C172),1,0)+IF(AND('班次明細'!L82&gt;0,'班次明細'!G82&lt;=B172,'班次明細'!H82&gt;=C172),1,0)</x:f>
        <x:v>4</x:v>
      </x:c>
      <x:c r="H172" s="2" t="n">
        <x:f>MAX(0,E172-G172)</x:f>
        <x:v>0</x:v>
      </x:c>
      <x:c r="I172" s="2" t="n">
        <x:f>IF(F172="",0,MAX(0,G172-F172))</x:f>
        <x:v>0</x:v>
      </x:c>
      <x:c r="J172" s="2" t="n">
        <x:v>0</x:v>
      </x:c>
      <x:c r="K172" s="11" t="str">
        <x:v>—</x:v>
      </x:c>
      <x:c r="L172" s="11" t="str">
        <x:f>"營運參考"</x:f>
        <x:v>營運參考</x:v>
      </x:c>
    </x:row>
    <x:row r="173" ht="42" customHeight="1">
      <x:c r="A173" s="12" t="n">
        <x:v>46320</x:v>
      </x:c>
      <x:c r="B173" s="13" t="n">
        <x:v>0.8958333333333334</x:v>
      </x:c>
      <x:c r="C173" s="13" t="n">
        <x:v>0.9166666666666666</x:v>
      </x:c>
      <x:c r="D173" s="2" t="str">
        <x:v>營運參考</x:v>
      </x:c>
      <x:c r="E173" s="2" t="n">
        <x:v>0</x:v>
      </x:c>
      <x:c r="F173" s="2"/>
      <x:c r="G173" s="2" t="n">
        <x:f>IF(AND('班次明細'!L12&gt;0,'班次明細'!G12&lt;=B173,'班次明細'!H12&gt;=C173),1,0)+IF(AND('班次明細'!L19&gt;0,'班次明細'!G19&lt;=B173,'班次明細'!H19&gt;=C173),1,0)+IF(AND('班次明細'!L26&gt;0,'班次明細'!G26&lt;=B173,'班次明細'!H26&gt;=C173),1,0)+IF(AND('班次明細'!L33&gt;0,'班次明細'!G33&lt;=B173,'班次明細'!H33&gt;=C173),1,0)+IF(AND('班次明細'!L40&gt;0,'班次明細'!G40&lt;=B173,'班次明細'!H40&gt;=C173),1,0)+IF(AND('班次明細'!L47&gt;0,'班次明細'!G47&lt;=B173,'班次明細'!H47&gt;=C173),1,0)+IF(AND('班次明細'!L54&gt;0,'班次明細'!G54&lt;=B173,'班次明細'!H54&gt;=C173),1,0)+IF(AND('班次明細'!L61&gt;0,'班次明細'!G61&lt;=B173,'班次明細'!H61&gt;=C173),1,0)+IF(AND('班次明細'!L68&gt;0,'班次明細'!G68&lt;=B173,'班次明細'!H68&gt;=C173),1,0)+IF(AND('班次明細'!L75&gt;0,'班次明細'!G75&lt;=B173,'班次明細'!H75&gt;=C173),1,0)+IF(AND('班次明細'!L82&gt;0,'班次明細'!G82&lt;=B173,'班次明細'!H82&gt;=C173),1,0)</x:f>
        <x:v>2</x:v>
      </x:c>
      <x:c r="H173" s="2" t="n">
        <x:f>MAX(0,E173-G173)</x:f>
        <x:v>0</x:v>
      </x:c>
      <x:c r="I173" s="2" t="n">
        <x:f>IF(F173="",0,MAX(0,G173-F173))</x:f>
        <x:v>0</x:v>
      </x:c>
      <x:c r="J173" s="2" t="n">
        <x:v>0</x:v>
      </x:c>
      <x:c r="K173" s="11" t="str">
        <x:v>—</x:v>
      </x:c>
      <x:c r="L173" s="11" t="str">
        <x:f>"營運參考"</x:f>
        <x:v>營運參考</x:v>
      </x:c>
    </x:row>
    <x:row r="175">
      <x:c r="A175" s="10" t="str">
        <x:v>日期</x:v>
      </x:c>
      <x:c r="B175" s="10" t="str">
        <x:v>10:00</x:v>
      </x:c>
      <x:c r="C175" s="10" t="str">
        <x:v>11:00</x:v>
      </x:c>
      <x:c r="D175" s="10" t="str">
        <x:v>11:30</x:v>
      </x:c>
      <x:c r="E175" s="10" t="str">
        <x:v>12:00</x:v>
      </x:c>
      <x:c r="F175" s="10" t="str">
        <x:v>正職數</x:v>
      </x:c>
      <x:c r="G175" s="10" t="str">
        <x:v>11前場</x:v>
      </x:c>
      <x:c r="H175" s="10" t="str">
        <x:v>11內場</x:v>
      </x:c>
      <x:c r="I175" s="10" t="str">
        <x:v>起班結果</x:v>
      </x:c>
      <x:c r="J175" s="10" t="str">
        <x:v>新人另計</x:v>
      </x:c>
      <x:c r="K175" s="10" t="str">
        <x:v>要求</x:v>
      </x:c>
      <x:c r="L175" s="10" t="str"/>
    </x:row>
    <x:row r="176">
      <x:c r="A176" s="12" t="n">
        <x:v>46314</x:v>
      </x:c>
      <x:c r="B176" s="105" t="n">
        <x:f>IF(AND('班次明細'!G6=10/24,'班次明細'!L6&gt;0),1,0)+IF(AND('班次明細'!G13=10/24,'班次明細'!L13&gt;0),1,0)+IF(AND('班次明細'!G20=10/24,'班次明細'!L20&gt;0),1,0)+IF(AND('班次明細'!G27=10/24,'班次明細'!L27&gt;0),1,0)+IF(AND('班次明細'!G34=10/24,'班次明細'!L34&gt;0),1,0)+IF(AND('班次明細'!G41=10/24,'班次明細'!L41&gt;0),1,0)+IF(AND('班次明細'!G48=10/24,'班次明細'!L48&gt;0),1,0)+IF(AND('班次明細'!G55=10/24,'班次明細'!L55&gt;0),1,0)+IF(AND('班次明細'!G62=10/24,'班次明細'!L62&gt;0),1,0)+IF(AND('班次明細'!G69=10/24,'班次明細'!L69&gt;0),1,0)+IF(AND('班次明細'!G76=10/24,'班次明細'!L76&gt;0),1,0)</x:f>
        <x:v>1</x:v>
      </x:c>
      <x:c r="C176" s="105" t="n">
        <x:f>IF(AND('班次明細'!G6=11/24,'班次明細'!L6&gt;0),1,0)+IF(AND('班次明細'!G13=11/24,'班次明細'!L13&gt;0),1,0)+IF(AND('班次明細'!G20=11/24,'班次明細'!L20&gt;0),1,0)+IF(AND('班次明細'!G27=11/24,'班次明細'!L27&gt;0),1,0)+IF(AND('班次明細'!G34=11/24,'班次明細'!L34&gt;0),1,0)+IF(AND('班次明細'!G41=11/24,'班次明細'!L41&gt;0),1,0)+IF(AND('班次明細'!G48=11/24,'班次明細'!L48&gt;0),1,0)+IF(AND('班次明細'!G55=11/24,'班次明細'!L55&gt;0),1,0)+IF(AND('班次明細'!G62=11/24,'班次明細'!L62&gt;0),1,0)+IF(AND('班次明細'!G69=11/24,'班次明細'!L69&gt;0),1,0)+IF(AND('班次明細'!G76=11/24,'班次明細'!L76&gt;0),1,0)</x:f>
        <x:v>1</x:v>
      </x:c>
      <x:c r="D176" s="105" t="n">
        <x:f>IF(AND('班次明細'!G6=11.5/24,'班次明細'!L6&gt;0),1,0)+IF(AND('班次明細'!G13=11.5/24,'班次明細'!L13&gt;0),1,0)+IF(AND('班次明細'!G20=11.5/24,'班次明細'!L20&gt;0),1,0)+IF(AND('班次明細'!G27=11.5/24,'班次明細'!L27&gt;0),1,0)+IF(AND('班次明細'!G34=11.5/24,'班次明細'!L34&gt;0),1,0)+IF(AND('班次明細'!G41=11.5/24,'班次明細'!L41&gt;0),1,0)+IF(AND('班次明細'!G48=11.5/24,'班次明細'!L48&gt;0),1,0)+IF(AND('班次明細'!G55=11.5/24,'班次明細'!L55&gt;0),1,0)+IF(AND('班次明細'!G62=11.5/24,'班次明細'!L62&gt;0),1,0)+IF(AND('班次明細'!G69=11.5/24,'班次明細'!L69&gt;0),1,0)+IF(AND('班次明細'!G76=11.5/24,'班次明細'!L76&gt;0),1,0)</x:f>
        <x:v>2</x:v>
      </x:c>
      <x:c r="E176" s="105" t="n">
        <x:f>IF(AND('班次明細'!G6=12/24,'班次明細'!L6&gt;0),1,0)+IF(AND('班次明細'!G13=12/24,'班次明細'!L13&gt;0),1,0)+IF(AND('班次明細'!G20=12/24,'班次明細'!L20&gt;0),1,0)+IF(AND('班次明細'!G27=12/24,'班次明細'!L27&gt;0),1,0)+IF(AND('班次明細'!G34=12/24,'班次明細'!L34&gt;0),1,0)+IF(AND('班次明細'!G41=12/24,'班次明細'!L41&gt;0),1,0)+IF(AND('班次明細'!G48=12/24,'班次明細'!L48&gt;0),1,0)+IF(AND('班次明細'!G55=12/24,'班次明細'!L55&gt;0),1,0)+IF(AND('班次明細'!G62=12/24,'班次明細'!L62&gt;0),1,0)+IF(AND('班次明細'!G69=12/24,'班次明細'!L69&gt;0),1,0)+IF(AND('班次明細'!G76=12/24,'班次明細'!L76&gt;0),1,0)</x:f>
        <x:v>0</x:v>
      </x:c>
      <x:c r="F176" s="105" t="n">
        <x:f>IF('班次明細'!L6&gt;0,1,0)+IF('班次明細'!L13&gt;0,1,0)+IF('班次明細'!L20&gt;0,1,0)</x:f>
        <x:v>2</x:v>
      </x:c>
      <x:c r="G176" s="105" t="n">
        <x:f>IF(AND('班次明細'!G6=11/24,'班次明細'!L6&gt;0,OR(LEFT('班次明細'!O6,2)="外場",LEFT('班次明細'!O6,2)="吧台",LEFT('班次明細'!O6,2)="控場")),1,0)+IF(AND('班次明細'!G13=11/24,'班次明細'!L13&gt;0,OR(LEFT('班次明細'!O13,2)="外場",LEFT('班次明細'!O13,2)="吧台",LEFT('班次明細'!O13,2)="控場")),1,0)+IF(AND('班次明細'!G20=11/24,'班次明細'!L20&gt;0,OR(LEFT('班次明細'!O20,2)="外場",LEFT('班次明細'!O20,2)="吧台",LEFT('班次明細'!O20,2)="控場")),1,0)+IF(AND('班次明細'!G27=11/24,'班次明細'!L27&gt;0,OR(LEFT('班次明細'!O27,2)="外場",LEFT('班次明細'!O27,2)="吧台",LEFT('班次明細'!O27,2)="控場")),1,0)+IF(AND('班次明細'!G34=11/24,'班次明細'!L34&gt;0,OR(LEFT('班次明細'!O34,2)="外場",LEFT('班次明細'!O34,2)="吧台",LEFT('班次明細'!O34,2)="控場")),1,0)+IF(AND('班次明細'!G41=11/24,'班次明細'!L41&gt;0,OR(LEFT('班次明細'!O41,2)="外場",LEFT('班次明細'!O41,2)="吧台",LEFT('班次明細'!O41,2)="控場")),1,0)+IF(AND('班次明細'!G48=11/24,'班次明細'!L48&gt;0,OR(LEFT('班次明細'!O48,2)="外場",LEFT('班次明細'!O48,2)="吧台",LEFT('班次明細'!O48,2)="控場")),1,0)+IF(AND('班次明細'!G55=11/24,'班次明細'!L55&gt;0,OR(LEFT('班次明細'!O55,2)="外場",LEFT('班次明細'!O55,2)="吧台",LEFT('班次明細'!O55,2)="控場")),1,0)+IF(AND('班次明細'!G62=11/24,'班次明細'!L62&gt;0,OR(LEFT('班次明細'!O62,2)="外場",LEFT('班次明細'!O62,2)="吧台",LEFT('班次明細'!O62,2)="控場")),1,0)+IF(AND('班次明細'!G69=11/24,'班次明細'!L69&gt;0,OR(LEFT('班次明細'!O69,2)="外場",LEFT('班次明細'!O69,2)="吧台",LEFT('班次明細'!O69,2)="控場")),1,0)+IF(AND('班次明細'!G76=11/24,'班次明細'!L76&gt;0,OR(LEFT('班次明細'!O76,2)="外場",LEFT('班次明細'!O76,2)="吧台",LEFT('班次明細'!O76,2)="控場")),1,0)</x:f>
        <x:v>1</x:v>
      </x:c>
      <x:c r="H176" s="105" t="n">
        <x:f>IF(AND('班次明細'!G6=11/24,'班次明細'!L6&gt;0,OR(LEFT('班次明細'!O6,2)="司爐",LEFT('班次明細'!O6,2)="料區",LEFT('班次明細'!O6,2)="炸區",LEFT('班次明細'!O6,2)="拍區")),1,0)+IF(AND('班次明細'!G13=11/24,'班次明細'!L13&gt;0,OR(LEFT('班次明細'!O13,2)="司爐",LEFT('班次明細'!O13,2)="料區",LEFT('班次明細'!O13,2)="炸區",LEFT('班次明細'!O13,2)="拍區")),1,0)+IF(AND('班次明細'!G20=11/24,'班次明細'!L20&gt;0,OR(LEFT('班次明細'!O20,2)="司爐",LEFT('班次明細'!O20,2)="料區",LEFT('班次明細'!O20,2)="炸區",LEFT('班次明細'!O20,2)="拍區")),1,0)+IF(AND('班次明細'!G27=11/24,'班次明細'!L27&gt;0,OR(LEFT('班次明細'!O27,2)="司爐",LEFT('班次明細'!O27,2)="料區",LEFT('班次明細'!O27,2)="炸區",LEFT('班次明細'!O27,2)="拍區")),1,0)+IF(AND('班次明細'!G34=11/24,'班次明細'!L34&gt;0,OR(LEFT('班次明細'!O34,2)="司爐",LEFT('班次明細'!O34,2)="料區",LEFT('班次明細'!O34,2)="炸區",LEFT('班次明細'!O34,2)="拍區")),1,0)+IF(AND('班次明細'!G41=11/24,'班次明細'!L41&gt;0,OR(LEFT('班次明細'!O41,2)="司爐",LEFT('班次明細'!O41,2)="料區",LEFT('班次明細'!O41,2)="炸區",LEFT('班次明細'!O41,2)="拍區")),1,0)+IF(AND('班次明細'!G48=11/24,'班次明細'!L48&gt;0,OR(LEFT('班次明細'!O48,2)="司爐",LEFT('班次明細'!O48,2)="料區",LEFT('班次明細'!O48,2)="炸區",LEFT('班次明細'!O48,2)="拍區")),1,0)+IF(AND('班次明細'!G55=11/24,'班次明細'!L55&gt;0,OR(LEFT('班次明細'!O55,2)="司爐",LEFT('班次明細'!O55,2)="料區",LEFT('班次明細'!O55,2)="炸區",LEFT('班次明細'!O55,2)="拍區")),1,0)+IF(AND('班次明細'!G62=11/24,'班次明細'!L62&gt;0,OR(LEFT('班次明細'!O62,2)="司爐",LEFT('班次明細'!O62,2)="料區",LEFT('班次明細'!O62,2)="炸區",LEFT('班次明細'!O62,2)="拍區")),1,0)+IF(AND('班次明細'!G69=11/24,'班次明細'!L69&gt;0,OR(LEFT('班次明細'!O69,2)="司爐",LEFT('班次明細'!O69,2)="料區",LEFT('班次明細'!O69,2)="炸區",LEFT('班次明細'!O69,2)="拍區")),1,0)+IF(AND('班次明細'!G76=11/24,'班次明細'!L76&gt;0,OR(LEFT('班次明細'!O76,2)="司爐",LEFT('班次明細'!O76,2)="料區",LEFT('班次明細'!O76,2)="炸區",LEFT('班次明細'!O76,2)="拍區")),1,0)</x:f>
        <x:v>0</x:v>
      </x:c>
      <x:c r="I176" s="105" t="str">
        <x:f>IF(AND(B176=1,C176=1,F176&gt;0),"符合","起班待調整")</x:f>
        <x:v>符合</x:v>
      </x:c>
      <x:c r="J176" s="105"/>
      <x:c r="K176" s="11" t="str">
        <x:v>11點1人</x:v>
      </x:c>
      <x:c r="L176" s="11"/>
    </x:row>
    <x:row r="177">
      <x:c r="A177" s="12" t="n">
        <x:v>46315</x:v>
      </x:c>
      <x:c r="B177" s="105" t="n">
        <x:f>IF(AND('班次明細'!G7=10/24,'班次明細'!L7&gt;0),1,0)+IF(AND('班次明細'!G14=10/24,'班次明細'!L14&gt;0),1,0)+IF(AND('班次明細'!G21=10/24,'班次明細'!L21&gt;0),1,0)+IF(AND('班次明細'!G28=10/24,'班次明細'!L28&gt;0),1,0)+IF(AND('班次明細'!G35=10/24,'班次明細'!L35&gt;0),1,0)+IF(AND('班次明細'!G42=10/24,'班次明細'!L42&gt;0),1,0)+IF(AND('班次明細'!G49=10/24,'班次明細'!L49&gt;0),1,0)+IF(AND('班次明細'!G56=10/24,'班次明細'!L56&gt;0),1,0)+IF(AND('班次明細'!G63=10/24,'班次明細'!L63&gt;0),1,0)+IF(AND('班次明細'!G70=10/24,'班次明細'!L70&gt;0),1,0)+IF(AND('班次明細'!G77=10/24,'班次明細'!L77&gt;0),1,0)</x:f>
        <x:v>1</x:v>
      </x:c>
      <x:c r="C177" s="105" t="n">
        <x:f>IF(AND('班次明細'!G7=11/24,'班次明細'!L7&gt;0),1,0)+IF(AND('班次明細'!G14=11/24,'班次明細'!L14&gt;0),1,0)+IF(AND('班次明細'!G21=11/24,'班次明細'!L21&gt;0),1,0)+IF(AND('班次明細'!G28=11/24,'班次明細'!L28&gt;0),1,0)+IF(AND('班次明細'!G35=11/24,'班次明細'!L35&gt;0),1,0)+IF(AND('班次明細'!G42=11/24,'班次明細'!L42&gt;0),1,0)+IF(AND('班次明細'!G49=11/24,'班次明細'!L49&gt;0),1,0)+IF(AND('班次明細'!G56=11/24,'班次明細'!L56&gt;0),1,0)+IF(AND('班次明細'!G63=11/24,'班次明細'!L63&gt;0),1,0)+IF(AND('班次明細'!G70=11/24,'班次明細'!L70&gt;0),1,0)+IF(AND('班次明細'!G77=11/24,'班次明細'!L77&gt;0),1,0)</x:f>
        <x:v>1</x:v>
      </x:c>
      <x:c r="D177" s="105" t="n">
        <x:f>IF(AND('班次明細'!G7=11.5/24,'班次明細'!L7&gt;0),1,0)+IF(AND('班次明細'!G14=11.5/24,'班次明細'!L14&gt;0),1,0)+IF(AND('班次明細'!G21=11.5/24,'班次明細'!L21&gt;0),1,0)+IF(AND('班次明細'!G28=11.5/24,'班次明細'!L28&gt;0),1,0)+IF(AND('班次明細'!G35=11.5/24,'班次明細'!L35&gt;0),1,0)+IF(AND('班次明細'!G42=11.5/24,'班次明細'!L42&gt;0),1,0)+IF(AND('班次明細'!G49=11.5/24,'班次明細'!L49&gt;0),1,0)+IF(AND('班次明細'!G56=11.5/24,'班次明細'!L56&gt;0),1,0)+IF(AND('班次明細'!G63=11.5/24,'班次明細'!L63&gt;0),1,0)+IF(AND('班次明細'!G70=11.5/24,'班次明細'!L70&gt;0),1,0)+IF(AND('班次明細'!G77=11.5/24,'班次明細'!L77&gt;0),1,0)</x:f>
        <x:v>2</x:v>
      </x:c>
      <x:c r="E177" s="105" t="n">
        <x:f>IF(AND('班次明細'!G7=12/24,'班次明細'!L7&gt;0),1,0)+IF(AND('班次明細'!G14=12/24,'班次明細'!L14&gt;0),1,0)+IF(AND('班次明細'!G21=12/24,'班次明細'!L21&gt;0),1,0)+IF(AND('班次明細'!G28=12/24,'班次明細'!L28&gt;0),1,0)+IF(AND('班次明細'!G35=12/24,'班次明細'!L35&gt;0),1,0)+IF(AND('班次明細'!G42=12/24,'班次明細'!L42&gt;0),1,0)+IF(AND('班次明細'!G49=12/24,'班次明細'!L49&gt;0),1,0)+IF(AND('班次明細'!G56=12/24,'班次明細'!L56&gt;0),1,0)+IF(AND('班次明細'!G63=12/24,'班次明細'!L63&gt;0),1,0)+IF(AND('班次明細'!G70=12/24,'班次明細'!L70&gt;0),1,0)+IF(AND('班次明細'!G77=12/24,'班次明細'!L77&gt;0),1,0)</x:f>
        <x:v>0</x:v>
      </x:c>
      <x:c r="F177" s="105" t="n">
        <x:f>IF('班次明細'!L7&gt;0,1,0)+IF('班次明細'!L14&gt;0,1,0)+IF('班次明細'!L21&gt;0,1,0)</x:f>
        <x:v>2</x:v>
      </x:c>
      <x:c r="G177" s="105" t="n">
        <x:f>IF(AND('班次明細'!G7=11/24,'班次明細'!L7&gt;0,OR(LEFT('班次明細'!O7,2)="外場",LEFT('班次明細'!O7,2)="吧台",LEFT('班次明細'!O7,2)="控場")),1,0)+IF(AND('班次明細'!G14=11/24,'班次明細'!L14&gt;0,OR(LEFT('班次明細'!O14,2)="外場",LEFT('班次明細'!O14,2)="吧台",LEFT('班次明細'!O14,2)="控場")),1,0)+IF(AND('班次明細'!G21=11/24,'班次明細'!L21&gt;0,OR(LEFT('班次明細'!O21,2)="外場",LEFT('班次明細'!O21,2)="吧台",LEFT('班次明細'!O21,2)="控場")),1,0)+IF(AND('班次明細'!G28=11/24,'班次明細'!L28&gt;0,OR(LEFT('班次明細'!O28,2)="外場",LEFT('班次明細'!O28,2)="吧台",LEFT('班次明細'!O28,2)="控場")),1,0)+IF(AND('班次明細'!G35=11/24,'班次明細'!L35&gt;0,OR(LEFT('班次明細'!O35,2)="外場",LEFT('班次明細'!O35,2)="吧台",LEFT('班次明細'!O35,2)="控場")),1,0)+IF(AND('班次明細'!G42=11/24,'班次明細'!L42&gt;0,OR(LEFT('班次明細'!O42,2)="外場",LEFT('班次明細'!O42,2)="吧台",LEFT('班次明細'!O42,2)="控場")),1,0)+IF(AND('班次明細'!G49=11/24,'班次明細'!L49&gt;0,OR(LEFT('班次明細'!O49,2)="外場",LEFT('班次明細'!O49,2)="吧台",LEFT('班次明細'!O49,2)="控場")),1,0)+IF(AND('班次明細'!G56=11/24,'班次明細'!L56&gt;0,OR(LEFT('班次明細'!O56,2)="外場",LEFT('班次明細'!O56,2)="吧台",LEFT('班次明細'!O56,2)="控場")),1,0)+IF(AND('班次明細'!G63=11/24,'班次明細'!L63&gt;0,OR(LEFT('班次明細'!O63,2)="外場",LEFT('班次明細'!O63,2)="吧台",LEFT('班次明細'!O63,2)="控場")),1,0)+IF(AND('班次明細'!G70=11/24,'班次明細'!L70&gt;0,OR(LEFT('班次明細'!O70,2)="外場",LEFT('班次明細'!O70,2)="吧台",LEFT('班次明細'!O70,2)="控場")),1,0)+IF(AND('班次明細'!G77=11/24,'班次明細'!L77&gt;0,OR(LEFT('班次明細'!O77,2)="外場",LEFT('班次明細'!O77,2)="吧台",LEFT('班次明細'!O77,2)="控場")),1,0)</x:f>
        <x:v>0</x:v>
      </x:c>
      <x:c r="H177" s="105" t="n">
        <x:f>IF(AND('班次明細'!G7=11/24,'班次明細'!L7&gt;0,OR(LEFT('班次明細'!O7,2)="司爐",LEFT('班次明細'!O7,2)="料區",LEFT('班次明細'!O7,2)="炸區",LEFT('班次明細'!O7,2)="拍區")),1,0)+IF(AND('班次明細'!G14=11/24,'班次明細'!L14&gt;0,OR(LEFT('班次明細'!O14,2)="司爐",LEFT('班次明細'!O14,2)="料區",LEFT('班次明細'!O14,2)="炸區",LEFT('班次明細'!O14,2)="拍區")),1,0)+IF(AND('班次明細'!G21=11/24,'班次明細'!L21&gt;0,OR(LEFT('班次明細'!O21,2)="司爐",LEFT('班次明細'!O21,2)="料區",LEFT('班次明細'!O21,2)="炸區",LEFT('班次明細'!O21,2)="拍區")),1,0)+IF(AND('班次明細'!G28=11/24,'班次明細'!L28&gt;0,OR(LEFT('班次明細'!O28,2)="司爐",LEFT('班次明細'!O28,2)="料區",LEFT('班次明細'!O28,2)="炸區",LEFT('班次明細'!O28,2)="拍區")),1,0)+IF(AND('班次明細'!G35=11/24,'班次明細'!L35&gt;0,OR(LEFT('班次明細'!O35,2)="司爐",LEFT('班次明細'!O35,2)="料區",LEFT('班次明細'!O35,2)="炸區",LEFT('班次明細'!O35,2)="拍區")),1,0)+IF(AND('班次明細'!G42=11/24,'班次明細'!L42&gt;0,OR(LEFT('班次明細'!O42,2)="司爐",LEFT('班次明細'!O42,2)="料區",LEFT('班次明細'!O42,2)="炸區",LEFT('班次明細'!O42,2)="拍區")),1,0)+IF(AND('班次明細'!G49=11/24,'班次明細'!L49&gt;0,OR(LEFT('班次明細'!O49,2)="司爐",LEFT('班次明細'!O49,2)="料區",LEFT('班次明細'!O49,2)="炸區",LEFT('班次明細'!O49,2)="拍區")),1,0)+IF(AND('班次明細'!G56=11/24,'班次明細'!L56&gt;0,OR(LEFT('班次明細'!O56,2)="司爐",LEFT('班次明細'!O56,2)="料區",LEFT('班次明細'!O56,2)="炸區",LEFT('班次明細'!O56,2)="拍區")),1,0)+IF(AND('班次明細'!G63=11/24,'班次明細'!L63&gt;0,OR(LEFT('班次明細'!O63,2)="司爐",LEFT('班次明細'!O63,2)="料區",LEFT('班次明細'!O63,2)="炸區",LEFT('班次明細'!O63,2)="拍區")),1,0)+IF(AND('班次明細'!G70=11/24,'班次明細'!L70&gt;0,OR(LEFT('班次明細'!O70,2)="司爐",LEFT('班次明細'!O70,2)="料區",LEFT('班次明細'!O70,2)="炸區",LEFT('班次明細'!O70,2)="拍區")),1,0)+IF(AND('班次明細'!G77=11/24,'班次明細'!L77&gt;0,OR(LEFT('班次明細'!O77,2)="司爐",LEFT('班次明細'!O77,2)="料區",LEFT('班次明細'!O77,2)="炸區",LEFT('班次明細'!O77,2)="拍區")),1,0)</x:f>
        <x:v>1</x:v>
      </x:c>
      <x:c r="I177" s="105" t="str">
        <x:f>IF(AND(B177=1,C177=1,F177&gt;0),"符合","起班待調整")</x:f>
        <x:v>符合</x:v>
      </x:c>
      <x:c r="J177" s="105"/>
      <x:c r="K177" s="11" t="str">
        <x:v>11點1人</x:v>
      </x:c>
      <x:c r="L177" s="11"/>
    </x:row>
    <x:row r="178">
      <x:c r="A178" s="12" t="n">
        <x:v>46316</x:v>
      </x:c>
      <x:c r="B178" s="105" t="n">
        <x:f>IF(AND('班次明細'!G8=10/24,'班次明細'!L8&gt;0),1,0)+IF(AND('班次明細'!G15=10/24,'班次明細'!L15&gt;0),1,0)+IF(AND('班次明細'!G22=10/24,'班次明細'!L22&gt;0),1,0)+IF(AND('班次明細'!G29=10/24,'班次明細'!L29&gt;0),1,0)+IF(AND('班次明細'!G36=10/24,'班次明細'!L36&gt;0),1,0)+IF(AND('班次明細'!G43=10/24,'班次明細'!L43&gt;0),1,0)+IF(AND('班次明細'!G50=10/24,'班次明細'!L50&gt;0),1,0)+IF(AND('班次明細'!G57=10/24,'班次明細'!L57&gt;0),1,0)+IF(AND('班次明細'!G64=10/24,'班次明細'!L64&gt;0),1,0)+IF(AND('班次明細'!G71=10/24,'班次明細'!L71&gt;0),1,0)+IF(AND('班次明細'!G78=10/24,'班次明細'!L78&gt;0),1,0)</x:f>
        <x:v>1</x:v>
      </x:c>
      <x:c r="C178" s="105" t="n">
        <x:f>IF(AND('班次明細'!G8=11/24,'班次明細'!L8&gt;0),1,0)+IF(AND('班次明細'!G15=11/24,'班次明細'!L15&gt;0),1,0)+IF(AND('班次明細'!G22=11/24,'班次明細'!L22&gt;0),1,0)+IF(AND('班次明細'!G29=11/24,'班次明細'!L29&gt;0),1,0)+IF(AND('班次明細'!G36=11/24,'班次明細'!L36&gt;0),1,0)+IF(AND('班次明細'!G43=11/24,'班次明細'!L43&gt;0),1,0)+IF(AND('班次明細'!G50=11/24,'班次明細'!L50&gt;0),1,0)+IF(AND('班次明細'!G57=11/24,'班次明細'!L57&gt;0),1,0)+IF(AND('班次明細'!G64=11/24,'班次明細'!L64&gt;0),1,0)+IF(AND('班次明細'!G71=11/24,'班次明細'!L71&gt;0),1,0)+IF(AND('班次明細'!G78=11/24,'班次明細'!L78&gt;0),1,0)</x:f>
        <x:v>2</x:v>
      </x:c>
      <x:c r="D178" s="105" t="n">
        <x:f>IF(AND('班次明細'!G8=11.5/24,'班次明細'!L8&gt;0),1,0)+IF(AND('班次明細'!G15=11.5/24,'班次明細'!L15&gt;0),1,0)+IF(AND('班次明細'!G22=11.5/24,'班次明細'!L22&gt;0),1,0)+IF(AND('班次明細'!G29=11.5/24,'班次明細'!L29&gt;0),1,0)+IF(AND('班次明細'!G36=11.5/24,'班次明細'!L36&gt;0),1,0)+IF(AND('班次明細'!G43=11.5/24,'班次明細'!L43&gt;0),1,0)+IF(AND('班次明細'!G50=11.5/24,'班次明細'!L50&gt;0),1,0)+IF(AND('班次明細'!G57=11.5/24,'班次明細'!L57&gt;0),1,0)+IF(AND('班次明細'!G64=11.5/24,'班次明細'!L64&gt;0),1,0)+IF(AND('班次明細'!G71=11.5/24,'班次明細'!L71&gt;0),1,0)+IF(AND('班次明細'!G78=11.5/24,'班次明細'!L78&gt;0),1,0)</x:f>
        <x:v>2</x:v>
      </x:c>
      <x:c r="E178" s="105" t="n">
        <x:f>IF(AND('班次明細'!G8=12/24,'班次明細'!L8&gt;0),1,0)+IF(AND('班次明細'!G15=12/24,'班次明細'!L15&gt;0),1,0)+IF(AND('班次明細'!G22=12/24,'班次明細'!L22&gt;0),1,0)+IF(AND('班次明細'!G29=12/24,'班次明細'!L29&gt;0),1,0)+IF(AND('班次明細'!G36=12/24,'班次明細'!L36&gt;0),1,0)+IF(AND('班次明細'!G43=12/24,'班次明細'!L43&gt;0),1,0)+IF(AND('班次明細'!G50=12/24,'班次明細'!L50&gt;0),1,0)+IF(AND('班次明細'!G57=12/24,'班次明細'!L57&gt;0),1,0)+IF(AND('班次明細'!G64=12/24,'班次明細'!L64&gt;0),1,0)+IF(AND('班次明細'!G71=12/24,'班次明細'!L71&gt;0),1,0)+IF(AND('班次明細'!G78=12/24,'班次明細'!L78&gt;0),1,0)</x:f>
        <x:v>0</x:v>
      </x:c>
      <x:c r="F178" s="105" t="n">
        <x:f>IF('班次明細'!L8&gt;0,1,0)+IF('班次明細'!L15&gt;0,1,0)+IF('班次明細'!L22&gt;0,1,0)</x:f>
        <x:v>2</x:v>
      </x:c>
      <x:c r="G178" s="105" t="n">
        <x:f>IF(AND('班次明細'!G8=11/24,'班次明細'!L8&gt;0,OR(LEFT('班次明細'!O8,2)="外場",LEFT('班次明細'!O8,2)="吧台",LEFT('班次明細'!O8,2)="控場")),1,0)+IF(AND('班次明細'!G15=11/24,'班次明細'!L15&gt;0,OR(LEFT('班次明細'!O15,2)="外場",LEFT('班次明細'!O15,2)="吧台",LEFT('班次明細'!O15,2)="控場")),1,0)+IF(AND('班次明細'!G22=11/24,'班次明細'!L22&gt;0,OR(LEFT('班次明細'!O22,2)="外場",LEFT('班次明細'!O22,2)="吧台",LEFT('班次明細'!O22,2)="控場")),1,0)+IF(AND('班次明細'!G29=11/24,'班次明細'!L29&gt;0,OR(LEFT('班次明細'!O29,2)="外場",LEFT('班次明細'!O29,2)="吧台",LEFT('班次明細'!O29,2)="控場")),1,0)+IF(AND('班次明細'!G36=11/24,'班次明細'!L36&gt;0,OR(LEFT('班次明細'!O36,2)="外場",LEFT('班次明細'!O36,2)="吧台",LEFT('班次明細'!O36,2)="控場")),1,0)+IF(AND('班次明細'!G43=11/24,'班次明細'!L43&gt;0,OR(LEFT('班次明細'!O43,2)="外場",LEFT('班次明細'!O43,2)="吧台",LEFT('班次明細'!O43,2)="控場")),1,0)+IF(AND('班次明細'!G50=11/24,'班次明細'!L50&gt;0,OR(LEFT('班次明細'!O50,2)="外場",LEFT('班次明細'!O50,2)="吧台",LEFT('班次明細'!O50,2)="控場")),1,0)+IF(AND('班次明細'!G57=11/24,'班次明細'!L57&gt;0,OR(LEFT('班次明細'!O57,2)="外場",LEFT('班次明細'!O57,2)="吧台",LEFT('班次明細'!O57,2)="控場")),1,0)+IF(AND('班次明細'!G64=11/24,'班次明細'!L64&gt;0,OR(LEFT('班次明細'!O64,2)="外場",LEFT('班次明細'!O64,2)="吧台",LEFT('班次明細'!O64,2)="控場")),1,0)+IF(AND('班次明細'!G71=11/24,'班次明細'!L71&gt;0,OR(LEFT('班次明細'!O71,2)="外場",LEFT('班次明細'!O71,2)="吧台",LEFT('班次明細'!O71,2)="控場")),1,0)+IF(AND('班次明細'!G78=11/24,'班次明細'!L78&gt;0,OR(LEFT('班次明細'!O78,2)="外場",LEFT('班次明細'!O78,2)="吧台",LEFT('班次明細'!O78,2)="控場")),1,0)</x:f>
        <x:v>0</x:v>
      </x:c>
      <x:c r="H178" s="105" t="n">
        <x:f>IF(AND('班次明細'!G8=11/24,'班次明細'!L8&gt;0,OR(LEFT('班次明細'!O8,2)="司爐",LEFT('班次明細'!O8,2)="料區",LEFT('班次明細'!O8,2)="炸區",LEFT('班次明細'!O8,2)="拍區")),1,0)+IF(AND('班次明細'!G15=11/24,'班次明細'!L15&gt;0,OR(LEFT('班次明細'!O15,2)="司爐",LEFT('班次明細'!O15,2)="料區",LEFT('班次明細'!O15,2)="炸區",LEFT('班次明細'!O15,2)="拍區")),1,0)+IF(AND('班次明細'!G22=11/24,'班次明細'!L22&gt;0,OR(LEFT('班次明細'!O22,2)="司爐",LEFT('班次明細'!O22,2)="料區",LEFT('班次明細'!O22,2)="炸區",LEFT('班次明細'!O22,2)="拍區")),1,0)+IF(AND('班次明細'!G29=11/24,'班次明細'!L29&gt;0,OR(LEFT('班次明細'!O29,2)="司爐",LEFT('班次明細'!O29,2)="料區",LEFT('班次明細'!O29,2)="炸區",LEFT('班次明細'!O29,2)="拍區")),1,0)+IF(AND('班次明細'!G36=11/24,'班次明細'!L36&gt;0,OR(LEFT('班次明細'!O36,2)="司爐",LEFT('班次明細'!O36,2)="料區",LEFT('班次明細'!O36,2)="炸區",LEFT('班次明細'!O36,2)="拍區")),1,0)+IF(AND('班次明細'!G43=11/24,'班次明細'!L43&gt;0,OR(LEFT('班次明細'!O43,2)="司爐",LEFT('班次明細'!O43,2)="料區",LEFT('班次明細'!O43,2)="炸區",LEFT('班次明細'!O43,2)="拍區")),1,0)+IF(AND('班次明細'!G50=11/24,'班次明細'!L50&gt;0,OR(LEFT('班次明細'!O50,2)="司爐",LEFT('班次明細'!O50,2)="料區",LEFT('班次明細'!O50,2)="炸區",LEFT('班次明細'!O50,2)="拍區")),1,0)+IF(AND('班次明細'!G57=11/24,'班次明細'!L57&gt;0,OR(LEFT('班次明細'!O57,2)="司爐",LEFT('班次明細'!O57,2)="料區",LEFT('班次明細'!O57,2)="炸區",LEFT('班次明細'!O57,2)="拍區")),1,0)+IF(AND('班次明細'!G64=11/24,'班次明細'!L64&gt;0,OR(LEFT('班次明細'!O64,2)="司爐",LEFT('班次明細'!O64,2)="料區",LEFT('班次明細'!O64,2)="炸區",LEFT('班次明細'!O64,2)="拍區")),1,0)+IF(AND('班次明細'!G71=11/24,'班次明細'!L71&gt;0,OR(LEFT('班次明細'!O71,2)="司爐",LEFT('班次明細'!O71,2)="料區",LEFT('班次明細'!O71,2)="炸區",LEFT('班次明細'!O71,2)="拍區")),1,0)+IF(AND('班次明細'!G78=11/24,'班次明細'!L78&gt;0,OR(LEFT('班次明細'!O78,2)="司爐",LEFT('班次明細'!O78,2)="料區",LEFT('班次明細'!O78,2)="炸區",LEFT('班次明細'!O78,2)="拍區")),1,0)</x:f>
        <x:v>2</x:v>
      </x:c>
      <x:c r="I178" s="105" t="str">
        <x:f>"開店資格／帶訓缺口；11點超額"</x:f>
        <x:v>開店資格／帶訓缺口；11點超額</x:v>
      </x:c>
      <x:c r="J178" s="105"/>
      <x:c r="K178" s="11" t="str">
        <x:v>10點僅P05，不具獨立開店資格；11點2位</x:v>
      </x:c>
      <x:c r="L178" s="11"/>
    </x:row>
    <x:row r="179">
      <x:c r="A179" s="12" t="n">
        <x:v>46317</x:v>
      </x:c>
      <x:c r="B179" s="105" t="n">
        <x:f>IF(AND('班次明細'!G9=10/24,'班次明細'!L9&gt;0),1,0)+IF(AND('班次明細'!G16=10/24,'班次明細'!L16&gt;0),1,0)+IF(AND('班次明細'!G23=10/24,'班次明細'!L23&gt;0),1,0)+IF(AND('班次明細'!G30=10/24,'班次明細'!L30&gt;0),1,0)+IF(AND('班次明細'!G37=10/24,'班次明細'!L37&gt;0),1,0)+IF(AND('班次明細'!G44=10/24,'班次明細'!L44&gt;0),1,0)+IF(AND('班次明細'!G51=10/24,'班次明細'!L51&gt;0),1,0)+IF(AND('班次明細'!G58=10/24,'班次明細'!L58&gt;0),1,0)+IF(AND('班次明細'!G65=10/24,'班次明細'!L65&gt;0),1,0)+IF(AND('班次明細'!G72=10/24,'班次明細'!L72&gt;0),1,0)+IF(AND('班次明細'!G79=10/24,'班次明細'!L79&gt;0),1,0)</x:f>
        <x:v>1</x:v>
      </x:c>
      <x:c r="C179" s="105" t="n">
        <x:f>IF(AND('班次明細'!G9=11/24,'班次明細'!L9&gt;0),1,0)+IF(AND('班次明細'!G16=11/24,'班次明細'!L16&gt;0),1,0)+IF(AND('班次明細'!G23=11/24,'班次明細'!L23&gt;0),1,0)+IF(AND('班次明細'!G30=11/24,'班次明細'!L30&gt;0),1,0)+IF(AND('班次明細'!G37=11/24,'班次明細'!L37&gt;0),1,0)+IF(AND('班次明細'!G44=11/24,'班次明細'!L44&gt;0),1,0)+IF(AND('班次明細'!G51=11/24,'班次明細'!L51&gt;0),1,0)+IF(AND('班次明細'!G58=11/24,'班次明細'!L58&gt;0),1,0)+IF(AND('班次明細'!G65=11/24,'班次明細'!L65&gt;0),1,0)+IF(AND('班次明細'!G72=11/24,'班次明細'!L72&gt;0),1,0)+IF(AND('班次明細'!G79=11/24,'班次明細'!L79&gt;0),1,0)</x:f>
        <x:v>1</x:v>
      </x:c>
      <x:c r="D179" s="105" t="n">
        <x:f>IF(AND('班次明細'!G9=11.5/24,'班次明細'!L9&gt;0),1,0)+IF(AND('班次明細'!G16=11.5/24,'班次明細'!L16&gt;0),1,0)+IF(AND('班次明細'!G23=11.5/24,'班次明細'!L23&gt;0),1,0)+IF(AND('班次明細'!G30=11.5/24,'班次明細'!L30&gt;0),1,0)+IF(AND('班次明細'!G37=11.5/24,'班次明細'!L37&gt;0),1,0)+IF(AND('班次明細'!G44=11.5/24,'班次明細'!L44&gt;0),1,0)+IF(AND('班次明細'!G51=11.5/24,'班次明細'!L51&gt;0),1,0)+IF(AND('班次明細'!G58=11.5/24,'班次明細'!L58&gt;0),1,0)+IF(AND('班次明細'!G65=11.5/24,'班次明細'!L65&gt;0),1,0)+IF(AND('班次明細'!G72=11.5/24,'班次明細'!L72&gt;0),1,0)+IF(AND('班次明細'!G79=11.5/24,'班次明細'!L79&gt;0),1,0)</x:f>
        <x:v>2</x:v>
      </x:c>
      <x:c r="E179" s="105" t="n">
        <x:f>IF(AND('班次明細'!G9=12/24,'班次明細'!L9&gt;0),1,0)+IF(AND('班次明細'!G16=12/24,'班次明細'!L16&gt;0),1,0)+IF(AND('班次明細'!G23=12/24,'班次明細'!L23&gt;0),1,0)+IF(AND('班次明細'!G30=12/24,'班次明細'!L30&gt;0),1,0)+IF(AND('班次明細'!G37=12/24,'班次明細'!L37&gt;0),1,0)+IF(AND('班次明細'!G44=12/24,'班次明細'!L44&gt;0),1,0)+IF(AND('班次明細'!G51=12/24,'班次明細'!L51&gt;0),1,0)+IF(AND('班次明細'!G58=12/24,'班次明細'!L58&gt;0),1,0)+IF(AND('班次明細'!G65=12/24,'班次明細'!L65&gt;0),1,0)+IF(AND('班次明細'!G72=12/24,'班次明細'!L72&gt;0),1,0)+IF(AND('班次明細'!G79=12/24,'班次明細'!L79&gt;0),1,0)</x:f>
        <x:v>0</x:v>
      </x:c>
      <x:c r="F179" s="105" t="n">
        <x:f>IF('班次明細'!L9&gt;0,1,0)+IF('班次明細'!L16&gt;0,1,0)+IF('班次明細'!L23&gt;0,1,0)</x:f>
        <x:v>2</x:v>
      </x:c>
      <x:c r="G179" s="105" t="n">
        <x:f>IF(AND('班次明細'!G9=11/24,'班次明細'!L9&gt;0,OR(LEFT('班次明細'!O9,2)="外場",LEFT('班次明細'!O9,2)="吧台",LEFT('班次明細'!O9,2)="控場")),1,0)+IF(AND('班次明細'!G16=11/24,'班次明細'!L16&gt;0,OR(LEFT('班次明細'!O16,2)="外場",LEFT('班次明細'!O16,2)="吧台",LEFT('班次明細'!O16,2)="控場")),1,0)+IF(AND('班次明細'!G23=11/24,'班次明細'!L23&gt;0,OR(LEFT('班次明細'!O23,2)="外場",LEFT('班次明細'!O23,2)="吧台",LEFT('班次明細'!O23,2)="控場")),1,0)+IF(AND('班次明細'!G30=11/24,'班次明細'!L30&gt;0,OR(LEFT('班次明細'!O30,2)="外場",LEFT('班次明細'!O30,2)="吧台",LEFT('班次明細'!O30,2)="控場")),1,0)+IF(AND('班次明細'!G37=11/24,'班次明細'!L37&gt;0,OR(LEFT('班次明細'!O37,2)="外場",LEFT('班次明細'!O37,2)="吧台",LEFT('班次明細'!O37,2)="控場")),1,0)+IF(AND('班次明細'!G44=11/24,'班次明細'!L44&gt;0,OR(LEFT('班次明細'!O44,2)="外場",LEFT('班次明細'!O44,2)="吧台",LEFT('班次明細'!O44,2)="控場")),1,0)+IF(AND('班次明細'!G51=11/24,'班次明細'!L51&gt;0,OR(LEFT('班次明細'!O51,2)="外場",LEFT('班次明細'!O51,2)="吧台",LEFT('班次明細'!O51,2)="控場")),1,0)+IF(AND('班次明細'!G58=11/24,'班次明細'!L58&gt;0,OR(LEFT('班次明細'!O58,2)="外場",LEFT('班次明細'!O58,2)="吧台",LEFT('班次明細'!O58,2)="控場")),1,0)+IF(AND('班次明細'!G65=11/24,'班次明細'!L65&gt;0,OR(LEFT('班次明細'!O65,2)="外場",LEFT('班次明細'!O65,2)="吧台",LEFT('班次明細'!O65,2)="控場")),1,0)+IF(AND('班次明細'!G72=11/24,'班次明細'!L72&gt;0,OR(LEFT('班次明細'!O72,2)="外場",LEFT('班次明細'!O72,2)="吧台",LEFT('班次明細'!O72,2)="控場")),1,0)+IF(AND('班次明細'!G79=11/24,'班次明細'!L79&gt;0,OR(LEFT('班次明細'!O79,2)="外場",LEFT('班次明細'!O79,2)="吧台",LEFT('班次明細'!O79,2)="控場")),1,0)</x:f>
        <x:v>1</x:v>
      </x:c>
      <x:c r="H179" s="105" t="n">
        <x:f>IF(AND('班次明細'!G9=11/24,'班次明細'!L9&gt;0,OR(LEFT('班次明細'!O9,2)="司爐",LEFT('班次明細'!O9,2)="料區",LEFT('班次明細'!O9,2)="炸區",LEFT('班次明細'!O9,2)="拍區")),1,0)+IF(AND('班次明細'!G16=11/24,'班次明細'!L16&gt;0,OR(LEFT('班次明細'!O16,2)="司爐",LEFT('班次明細'!O16,2)="料區",LEFT('班次明細'!O16,2)="炸區",LEFT('班次明細'!O16,2)="拍區")),1,0)+IF(AND('班次明細'!G23=11/24,'班次明細'!L23&gt;0,OR(LEFT('班次明細'!O23,2)="司爐",LEFT('班次明細'!O23,2)="料區",LEFT('班次明細'!O23,2)="炸區",LEFT('班次明細'!O23,2)="拍區")),1,0)+IF(AND('班次明細'!G30=11/24,'班次明細'!L30&gt;0,OR(LEFT('班次明細'!O30,2)="司爐",LEFT('班次明細'!O30,2)="料區",LEFT('班次明細'!O30,2)="炸區",LEFT('班次明細'!O30,2)="拍區")),1,0)+IF(AND('班次明細'!G37=11/24,'班次明細'!L37&gt;0,OR(LEFT('班次明細'!O37,2)="司爐",LEFT('班次明細'!O37,2)="料區",LEFT('班次明細'!O37,2)="炸區",LEFT('班次明細'!O37,2)="拍區")),1,0)+IF(AND('班次明細'!G44=11/24,'班次明細'!L44&gt;0,OR(LEFT('班次明細'!O44,2)="司爐",LEFT('班次明細'!O44,2)="料區",LEFT('班次明細'!O44,2)="炸區",LEFT('班次明細'!O44,2)="拍區")),1,0)+IF(AND('班次明細'!G51=11/24,'班次明細'!L51&gt;0,OR(LEFT('班次明細'!O51,2)="司爐",LEFT('班次明細'!O51,2)="料區",LEFT('班次明細'!O51,2)="炸區",LEFT('班次明細'!O51,2)="拍區")),1,0)+IF(AND('班次明細'!G58=11/24,'班次明細'!L58&gt;0,OR(LEFT('班次明細'!O58,2)="司爐",LEFT('班次明細'!O58,2)="料區",LEFT('班次明細'!O58,2)="炸區",LEFT('班次明細'!O58,2)="拍區")),1,0)+IF(AND('班次明細'!G65=11/24,'班次明細'!L65&gt;0,OR(LEFT('班次明細'!O65,2)="司爐",LEFT('班次明細'!O65,2)="料區",LEFT('班次明細'!O65,2)="炸區",LEFT('班次明細'!O65,2)="拍區")),1,0)+IF(AND('班次明細'!G72=11/24,'班次明細'!L72&gt;0,OR(LEFT('班次明細'!O72,2)="司爐",LEFT('班次明細'!O72,2)="料區",LEFT('班次明細'!O72,2)="炸區",LEFT('班次明細'!O72,2)="拍區")),1,0)+IF(AND('班次明細'!G79=11/24,'班次明細'!L79&gt;0,OR(LEFT('班次明細'!O79,2)="司爐",LEFT('班次明細'!O79,2)="料區",LEFT('班次明細'!O79,2)="炸區",LEFT('班次明細'!O79,2)="拍區")),1,0)</x:f>
        <x:v>0</x:v>
      </x:c>
      <x:c r="I179" s="105" t="str">
        <x:f>IF(AND(B179=1,C179=1,F179&gt;0),"符合","起班待調整")</x:f>
        <x:v>符合</x:v>
      </x:c>
      <x:c r="J179" s="105"/>
      <x:c r="K179" s="11" t="str">
        <x:v>11點1人</x:v>
      </x:c>
      <x:c r="L179" s="11"/>
    </x:row>
    <x:row r="180">
      <x:c r="A180" s="12" t="n">
        <x:v>46318</x:v>
      </x:c>
      <x:c r="B180" s="105" t="n">
        <x:f>IF(AND('班次明細'!G10=10/24,'班次明細'!L10&gt;0),1,0)+IF(AND('班次明細'!G17=10/24,'班次明細'!L17&gt;0),1,0)+IF(AND('班次明細'!G24=10/24,'班次明細'!L24&gt;0),1,0)+IF(AND('班次明細'!G31=10/24,'班次明細'!L31&gt;0),1,0)+IF(AND('班次明細'!G38=10/24,'班次明細'!L38&gt;0),1,0)+IF(AND('班次明細'!G45=10/24,'班次明細'!L45&gt;0),1,0)+IF(AND('班次明細'!G52=10/24,'班次明細'!L52&gt;0),1,0)+IF(AND('班次明細'!G59=10/24,'班次明細'!L59&gt;0),1,0)+IF(AND('班次明細'!G66=10/24,'班次明細'!L66&gt;0),1,0)+IF(AND('班次明細'!G73=10/24,'班次明細'!L73&gt;0),1,0)+IF(AND('班次明細'!G80=10/24,'班次明細'!L80&gt;0),1,0)</x:f>
        <x:v>1</x:v>
      </x:c>
      <x:c r="C180" s="105" t="n">
        <x:f>IF(AND('班次明細'!G10=11/24,'班次明細'!L10&gt;0),1,0)+IF(AND('班次明細'!G17=11/24,'班次明細'!L17&gt;0),1,0)+IF(AND('班次明細'!G24=11/24,'班次明細'!L24&gt;0),1,0)+IF(AND('班次明細'!G31=11/24,'班次明細'!L31&gt;0),1,0)+IF(AND('班次明細'!G38=11/24,'班次明細'!L38&gt;0),1,0)+IF(AND('班次明細'!G45=11/24,'班次明細'!L45&gt;0),1,0)+IF(AND('班次明細'!G52=11/24,'班次明細'!L52&gt;0),1,0)+IF(AND('班次明細'!G59=11/24,'班次明細'!L59&gt;0),1,0)+IF(AND('班次明細'!G66=11/24,'班次明細'!L66&gt;0),1,0)+IF(AND('班次明細'!G73=11/24,'班次明細'!L73&gt;0),1,0)+IF(AND('班次明細'!G80=11/24,'班次明細'!L80&gt;0),1,0)</x:f>
        <x:v>1</x:v>
      </x:c>
      <x:c r="D180" s="105" t="n">
        <x:f>IF(AND('班次明細'!G10=11.5/24,'班次明細'!L10&gt;0),1,0)+IF(AND('班次明細'!G17=11.5/24,'班次明細'!L17&gt;0),1,0)+IF(AND('班次明細'!G24=11.5/24,'班次明細'!L24&gt;0),1,0)+IF(AND('班次明細'!G31=11.5/24,'班次明細'!L31&gt;0),1,0)+IF(AND('班次明細'!G38=11.5/24,'班次明細'!L38&gt;0),1,0)+IF(AND('班次明細'!G45=11.5/24,'班次明細'!L45&gt;0),1,0)+IF(AND('班次明細'!G52=11.5/24,'班次明細'!L52&gt;0),1,0)+IF(AND('班次明細'!G59=11.5/24,'班次明細'!L59&gt;0),1,0)+IF(AND('班次明細'!G66=11.5/24,'班次明細'!L66&gt;0),1,0)+IF(AND('班次明細'!G73=11.5/24,'班次明細'!L73&gt;0),1,0)+IF(AND('班次明細'!G80=11.5/24,'班次明細'!L80&gt;0),1,0)</x:f>
        <x:v>1</x:v>
      </x:c>
      <x:c r="E180" s="105" t="n">
        <x:f>IF(AND('班次明細'!G10=12/24,'班次明細'!L10&gt;0),1,0)+IF(AND('班次明細'!G17=12/24,'班次明細'!L17&gt;0),1,0)+IF(AND('班次明細'!G24=12/24,'班次明細'!L24&gt;0),1,0)+IF(AND('班次明細'!G31=12/24,'班次明細'!L31&gt;0),1,0)+IF(AND('班次明細'!G38=12/24,'班次明細'!L38&gt;0),1,0)+IF(AND('班次明細'!G45=12/24,'班次明細'!L45&gt;0),1,0)+IF(AND('班次明細'!G52=12/24,'班次明細'!L52&gt;0),1,0)+IF(AND('班次明細'!G59=12/24,'班次明細'!L59&gt;0),1,0)+IF(AND('班次明細'!G66=12/24,'班次明細'!L66&gt;0),1,0)+IF(AND('班次明細'!G73=12/24,'班次明細'!L73&gt;0),1,0)+IF(AND('班次明細'!G80=12/24,'班次明細'!L80&gt;0),1,0)</x:f>
        <x:v>1</x:v>
      </x:c>
      <x:c r="F180" s="105" t="n">
        <x:f>IF('班次明細'!L10&gt;0,1,0)+IF('班次明細'!L17&gt;0,1,0)+IF('班次明細'!L24&gt;0,1,0)</x:f>
        <x:v>2</x:v>
      </x:c>
      <x:c r="G180" s="105" t="n">
        <x:f>IF(AND('班次明細'!G10=11/24,'班次明細'!L10&gt;0,OR(LEFT('班次明細'!O10,2)="外場",LEFT('班次明細'!O10,2)="吧台",LEFT('班次明細'!O10,2)="控場")),1,0)+IF(AND('班次明細'!G17=11/24,'班次明細'!L17&gt;0,OR(LEFT('班次明細'!O17,2)="外場",LEFT('班次明細'!O17,2)="吧台",LEFT('班次明細'!O17,2)="控場")),1,0)+IF(AND('班次明細'!G24=11/24,'班次明細'!L24&gt;0,OR(LEFT('班次明細'!O24,2)="外場",LEFT('班次明細'!O24,2)="吧台",LEFT('班次明細'!O24,2)="控場")),1,0)+IF(AND('班次明細'!G31=11/24,'班次明細'!L31&gt;0,OR(LEFT('班次明細'!O31,2)="外場",LEFT('班次明細'!O31,2)="吧台",LEFT('班次明細'!O31,2)="控場")),1,0)+IF(AND('班次明細'!G38=11/24,'班次明細'!L38&gt;0,OR(LEFT('班次明細'!O38,2)="外場",LEFT('班次明細'!O38,2)="吧台",LEFT('班次明細'!O38,2)="控場")),1,0)+IF(AND('班次明細'!G45=11/24,'班次明細'!L45&gt;0,OR(LEFT('班次明細'!O45,2)="外場",LEFT('班次明細'!O45,2)="吧台",LEFT('班次明細'!O45,2)="控場")),1,0)+IF(AND('班次明細'!G52=11/24,'班次明細'!L52&gt;0,OR(LEFT('班次明細'!O52,2)="外場",LEFT('班次明細'!O52,2)="吧台",LEFT('班次明細'!O52,2)="控場")),1,0)+IF(AND('班次明細'!G59=11/24,'班次明細'!L59&gt;0,OR(LEFT('班次明細'!O59,2)="外場",LEFT('班次明細'!O59,2)="吧台",LEFT('班次明細'!O59,2)="控場")),1,0)+IF(AND('班次明細'!G66=11/24,'班次明細'!L66&gt;0,OR(LEFT('班次明細'!O66,2)="外場",LEFT('班次明細'!O66,2)="吧台",LEFT('班次明細'!O66,2)="控場")),1,0)+IF(AND('班次明細'!G73=11/24,'班次明細'!L73&gt;0,OR(LEFT('班次明細'!O73,2)="外場",LEFT('班次明細'!O73,2)="吧台",LEFT('班次明細'!O73,2)="控場")),1,0)+IF(AND('班次明細'!G80=11/24,'班次明細'!L80&gt;0,OR(LEFT('班次明細'!O80,2)="外場",LEFT('班次明細'!O80,2)="吧台",LEFT('班次明細'!O80,2)="控場")),1,0)</x:f>
        <x:v>1</x:v>
      </x:c>
      <x:c r="H180" s="105" t="n">
        <x:f>IF(AND('班次明細'!G10=11/24,'班次明細'!L10&gt;0,OR(LEFT('班次明細'!O10,2)="司爐",LEFT('班次明細'!O10,2)="料區",LEFT('班次明細'!O10,2)="炸區",LEFT('班次明細'!O10,2)="拍區")),1,0)+IF(AND('班次明細'!G17=11/24,'班次明細'!L17&gt;0,OR(LEFT('班次明細'!O17,2)="司爐",LEFT('班次明細'!O17,2)="料區",LEFT('班次明細'!O17,2)="炸區",LEFT('班次明細'!O17,2)="拍區")),1,0)+IF(AND('班次明細'!G24=11/24,'班次明細'!L24&gt;0,OR(LEFT('班次明細'!O24,2)="司爐",LEFT('班次明細'!O24,2)="料區",LEFT('班次明細'!O24,2)="炸區",LEFT('班次明細'!O24,2)="拍區")),1,0)+IF(AND('班次明細'!G31=11/24,'班次明細'!L31&gt;0,OR(LEFT('班次明細'!O31,2)="司爐",LEFT('班次明細'!O31,2)="料區",LEFT('班次明細'!O31,2)="炸區",LEFT('班次明細'!O31,2)="拍區")),1,0)+IF(AND('班次明細'!G38=11/24,'班次明細'!L38&gt;0,OR(LEFT('班次明細'!O38,2)="司爐",LEFT('班次明細'!O38,2)="料區",LEFT('班次明細'!O38,2)="炸區",LEFT('班次明細'!O38,2)="拍區")),1,0)+IF(AND('班次明細'!G45=11/24,'班次明細'!L45&gt;0,OR(LEFT('班次明細'!O45,2)="司爐",LEFT('班次明細'!O45,2)="料區",LEFT('班次明細'!O45,2)="炸區",LEFT('班次明細'!O45,2)="拍區")),1,0)+IF(AND('班次明細'!G52=11/24,'班次明細'!L52&gt;0,OR(LEFT('班次明細'!O52,2)="司爐",LEFT('班次明細'!O52,2)="料區",LEFT('班次明細'!O52,2)="炸區",LEFT('班次明細'!O52,2)="拍區")),1,0)+IF(AND('班次明細'!G59=11/24,'班次明細'!L59&gt;0,OR(LEFT('班次明細'!O59,2)="司爐",LEFT('班次明細'!O59,2)="料區",LEFT('班次明細'!O59,2)="炸區",LEFT('班次明細'!O59,2)="拍區")),1,0)+IF(AND('班次明細'!G66=11/24,'班次明細'!L66&gt;0,OR(LEFT('班次明細'!O66,2)="司爐",LEFT('班次明細'!O66,2)="料區",LEFT('班次明細'!O66,2)="炸區",LEFT('班次明細'!O66,2)="拍區")),1,0)+IF(AND('班次明細'!G73=11/24,'班次明細'!L73&gt;0,OR(LEFT('班次明細'!O73,2)="司爐",LEFT('班次明細'!O73,2)="料區",LEFT('班次明細'!O73,2)="炸區",LEFT('班次明細'!O73,2)="拍區")),1,0)+IF(AND('班次明細'!G80=11/24,'班次明細'!L80&gt;0,OR(LEFT('班次明細'!O80,2)="司爐",LEFT('班次明細'!O80,2)="料區",LEFT('班次明細'!O80,2)="炸區",LEFT('班次明細'!O80,2)="拍區")),1,0)</x:f>
        <x:v>0</x:v>
      </x:c>
      <x:c r="I180" s="105" t="str">
        <x:f>IF(AND(B180=1,C180=1,F180&gt;0),"符合","起班待調整")</x:f>
        <x:v>符合</x:v>
      </x:c>
      <x:c r="J180" s="105"/>
      <x:c r="K180" s="11" t="str">
        <x:v>11點1人</x:v>
      </x:c>
      <x:c r="L180" s="11"/>
    </x:row>
    <x:row r="181">
      <x:c r="A181" s="12" t="n">
        <x:v>46319</x:v>
      </x:c>
      <x:c r="B181" s="105" t="n">
        <x:f>IF(AND('班次明細'!G11=10/24,'班次明細'!L11&gt;0),1,0)+IF(AND('班次明細'!G18=10/24,'班次明細'!L18&gt;0),1,0)+IF(AND('班次明細'!G25=10/24,'班次明細'!L25&gt;0),1,0)+IF(AND('班次明細'!G32=10/24,'班次明細'!L32&gt;0),1,0)+IF(AND('班次明細'!G39=10/24,'班次明細'!L39&gt;0),1,0)+IF(AND('班次明細'!G46=10/24,'班次明細'!L46&gt;0),1,0)+IF(AND('班次明細'!G53=10/24,'班次明細'!L53&gt;0),1,0)+IF(AND('班次明細'!G60=10/24,'班次明細'!L60&gt;0),1,0)+IF(AND('班次明細'!G67=10/24,'班次明細'!L67&gt;0),1,0)+IF(AND('班次明細'!G74=10/24,'班次明細'!L74&gt;0),1,0)+IF(AND('班次明細'!G81=10/24,'班次明細'!L81&gt;0),1,0)</x:f>
        <x:v>1</x:v>
      </x:c>
      <x:c r="C181" s="105" t="n">
        <x:f>IF(AND('班次明細'!G11=11/24,'班次明細'!L11&gt;0),1,0)+IF(AND('班次明細'!G18=11/24,'班次明細'!L18&gt;0),1,0)+IF(AND('班次明細'!G25=11/24,'班次明細'!L25&gt;0),1,0)+IF(AND('班次明細'!G32=11/24,'班次明細'!L32&gt;0),1,0)+IF(AND('班次明細'!G39=11/24,'班次明細'!L39&gt;0),1,0)+IF(AND('班次明細'!G46=11/24,'班次明細'!L46&gt;0),1,0)+IF(AND('班次明細'!G53=11/24,'班次明細'!L53&gt;0),1,0)+IF(AND('班次明細'!G60=11/24,'班次明細'!L60&gt;0),1,0)+IF(AND('班次明細'!G67=11/24,'班次明細'!L67&gt;0),1,0)+IF(AND('班次明細'!G74=11/24,'班次明細'!L74&gt;0),1,0)+IF(AND('班次明細'!G81=11/24,'班次明細'!L81&gt;0),1,0)</x:f>
        <x:v>2</x:v>
      </x:c>
      <x:c r="D181" s="105" t="n">
        <x:f>IF(AND('班次明細'!G11=11.5/24,'班次明細'!L11&gt;0),1,0)+IF(AND('班次明細'!G18=11.5/24,'班次明細'!L18&gt;0),1,0)+IF(AND('班次明細'!G25=11.5/24,'班次明細'!L25&gt;0),1,0)+IF(AND('班次明細'!G32=11.5/24,'班次明細'!L32&gt;0),1,0)+IF(AND('班次明細'!G39=11.5/24,'班次明細'!L39&gt;0),1,0)+IF(AND('班次明細'!G46=11.5/24,'班次明細'!L46&gt;0),1,0)+IF(AND('班次明細'!G53=11.5/24,'班次明細'!L53&gt;0),1,0)+IF(AND('班次明細'!G60=11.5/24,'班次明細'!L60&gt;0),1,0)+IF(AND('班次明細'!G67=11.5/24,'班次明細'!L67&gt;0),1,0)+IF(AND('班次明細'!G74=11.5/24,'班次明細'!L74&gt;0),1,0)+IF(AND('班次明細'!G81=11.5/24,'班次明細'!L81&gt;0),1,0)</x:f>
        <x:v>3</x:v>
      </x:c>
      <x:c r="E181" s="105" t="n">
        <x:f>IF(AND('班次明細'!G11=12/24,'班次明細'!L11&gt;0),1,0)+IF(AND('班次明細'!G18=12/24,'班次明細'!L18&gt;0),1,0)+IF(AND('班次明細'!G25=12/24,'班次明細'!L25&gt;0),1,0)+IF(AND('班次明細'!G32=12/24,'班次明細'!L32&gt;0),1,0)+IF(AND('班次明細'!G39=12/24,'班次明細'!L39&gt;0),1,0)+IF(AND('班次明細'!G46=12/24,'班次明細'!L46&gt;0),1,0)+IF(AND('班次明細'!G53=12/24,'班次明細'!L53&gt;0),1,0)+IF(AND('班次明細'!G60=12/24,'班次明細'!L60&gt;0),1,0)+IF(AND('班次明細'!G67=12/24,'班次明細'!L67&gt;0),1,0)+IF(AND('班次明細'!G74=12/24,'班次明細'!L74&gt;0),1,0)+IF(AND('班次明細'!G81=12/24,'班次明細'!L81&gt;0),1,0)</x:f>
        <x:v>1</x:v>
      </x:c>
      <x:c r="F181" s="105" t="n">
        <x:f>IF('班次明細'!L11&gt;0,1,0)+IF('班次明細'!L18&gt;0,1,0)+IF('班次明細'!L25&gt;0,1,0)</x:f>
        <x:v>2</x:v>
      </x:c>
      <x:c r="G181" s="105" t="n">
        <x:f>IF(AND('班次明細'!G11=11/24,'班次明細'!L11&gt;0,OR(LEFT('班次明細'!O11,2)="外場",LEFT('班次明細'!O11,2)="吧台",LEFT('班次明細'!O11,2)="控場")),1,0)+IF(AND('班次明細'!G18=11/24,'班次明細'!L18&gt;0,OR(LEFT('班次明細'!O18,2)="外場",LEFT('班次明細'!O18,2)="吧台",LEFT('班次明細'!O18,2)="控場")),1,0)+IF(AND('班次明細'!G25=11/24,'班次明細'!L25&gt;0,OR(LEFT('班次明細'!O25,2)="外場",LEFT('班次明細'!O25,2)="吧台",LEFT('班次明細'!O25,2)="控場")),1,0)+IF(AND('班次明細'!G32=11/24,'班次明細'!L32&gt;0,OR(LEFT('班次明細'!O32,2)="外場",LEFT('班次明細'!O32,2)="吧台",LEFT('班次明細'!O32,2)="控場")),1,0)+IF(AND('班次明細'!G39=11/24,'班次明細'!L39&gt;0,OR(LEFT('班次明細'!O39,2)="外場",LEFT('班次明細'!O39,2)="吧台",LEFT('班次明細'!O39,2)="控場")),1,0)+IF(AND('班次明細'!G46=11/24,'班次明細'!L46&gt;0,OR(LEFT('班次明細'!O46,2)="外場",LEFT('班次明細'!O46,2)="吧台",LEFT('班次明細'!O46,2)="控場")),1,0)+IF(AND('班次明細'!G53=11/24,'班次明細'!L53&gt;0,OR(LEFT('班次明細'!O53,2)="外場",LEFT('班次明細'!O53,2)="吧台",LEFT('班次明細'!O53,2)="控場")),1,0)+IF(AND('班次明細'!G60=11/24,'班次明細'!L60&gt;0,OR(LEFT('班次明細'!O60,2)="外場",LEFT('班次明細'!O60,2)="吧台",LEFT('班次明細'!O60,2)="控場")),1,0)+IF(AND('班次明細'!G67=11/24,'班次明細'!L67&gt;0,OR(LEFT('班次明細'!O67,2)="外場",LEFT('班次明細'!O67,2)="吧台",LEFT('班次明細'!O67,2)="控場")),1,0)+IF(AND('班次明細'!G74=11/24,'班次明細'!L74&gt;0,OR(LEFT('班次明細'!O74,2)="外場",LEFT('班次明細'!O74,2)="吧台",LEFT('班次明細'!O74,2)="控場")),1,0)+IF(AND('班次明細'!G81=11/24,'班次明細'!L81&gt;0,OR(LEFT('班次明細'!O81,2)="外場",LEFT('班次明細'!O81,2)="吧台",LEFT('班次明細'!O81,2)="控場")),1,0)</x:f>
        <x:v>1</x:v>
      </x:c>
      <x:c r="H181" s="105" t="n">
        <x:f>IF(AND('班次明細'!G11=11/24,'班次明細'!L11&gt;0,OR(LEFT('班次明細'!O11,2)="司爐",LEFT('班次明細'!O11,2)="料區",LEFT('班次明細'!O11,2)="炸區",LEFT('班次明細'!O11,2)="拍區")),1,0)+IF(AND('班次明細'!G18=11/24,'班次明細'!L18&gt;0,OR(LEFT('班次明細'!O18,2)="司爐",LEFT('班次明細'!O18,2)="料區",LEFT('班次明細'!O18,2)="炸區",LEFT('班次明細'!O18,2)="拍區")),1,0)+IF(AND('班次明細'!G25=11/24,'班次明細'!L25&gt;0,OR(LEFT('班次明細'!O25,2)="司爐",LEFT('班次明細'!O25,2)="料區",LEFT('班次明細'!O25,2)="炸區",LEFT('班次明細'!O25,2)="拍區")),1,0)+IF(AND('班次明細'!G32=11/24,'班次明細'!L32&gt;0,OR(LEFT('班次明細'!O32,2)="司爐",LEFT('班次明細'!O32,2)="料區",LEFT('班次明細'!O32,2)="炸區",LEFT('班次明細'!O32,2)="拍區")),1,0)+IF(AND('班次明細'!G39=11/24,'班次明細'!L39&gt;0,OR(LEFT('班次明細'!O39,2)="司爐",LEFT('班次明細'!O39,2)="料區",LEFT('班次明細'!O39,2)="炸區",LEFT('班次明細'!O39,2)="拍區")),1,0)+IF(AND('班次明細'!G46=11/24,'班次明細'!L46&gt;0,OR(LEFT('班次明細'!O46,2)="司爐",LEFT('班次明細'!O46,2)="料區",LEFT('班次明細'!O46,2)="炸區",LEFT('班次明細'!O46,2)="拍區")),1,0)+IF(AND('班次明細'!G53=11/24,'班次明細'!L53&gt;0,OR(LEFT('班次明細'!O53,2)="司爐",LEFT('班次明細'!O53,2)="料區",LEFT('班次明細'!O53,2)="炸區",LEFT('班次明細'!O53,2)="拍區")),1,0)+IF(AND('班次明細'!G60=11/24,'班次明細'!L60&gt;0,OR(LEFT('班次明細'!O60,2)="司爐",LEFT('班次明細'!O60,2)="料區",LEFT('班次明細'!O60,2)="炸區",LEFT('班次明細'!O60,2)="拍區")),1,0)+IF(AND('班次明細'!G67=11/24,'班次明細'!L67&gt;0,OR(LEFT('班次明細'!O67,2)="司爐",LEFT('班次明細'!O67,2)="料區",LEFT('班次明細'!O67,2)="炸區",LEFT('班次明細'!O67,2)="拍區")),1,0)+IF(AND('班次明細'!G74=11/24,'班次明細'!L74&gt;0,OR(LEFT('班次明細'!O74,2)="司爐",LEFT('班次明細'!O74,2)="料區",LEFT('班次明細'!O74,2)="炸區",LEFT('班次明細'!O74,2)="拍區")),1,0)+IF(AND('班次明細'!G81=11/24,'班次明細'!L81&gt;0,OR(LEFT('班次明細'!O81,2)="司爐",LEFT('班次明細'!O81,2)="料區",LEFT('班次明細'!O81,2)="炸區",LEFT('班次明細'!O81,2)="拍區")),1,0)</x:f>
        <x:v>1</x:v>
      </x:c>
      <x:c r="I181" s="105" t="str">
        <x:f>IF(AND(B181=1,C181=2,F181&gt;0,G181=1,H181=1),"符合","起班待調整")</x:f>
        <x:v>符合</x:v>
      </x:c>
      <x:c r="J181" s="105"/>
      <x:c r="K181" s="11" t="str">
        <x:v>11點前後場各1人</x:v>
      </x:c>
      <x:c r="L181" s="11"/>
    </x:row>
    <x:row r="182">
      <x:c r="A182" s="12" t="n">
        <x:v>46320</x:v>
      </x:c>
      <x:c r="B182" s="105" t="n">
        <x:f>IF(AND('班次明細'!G12=10/24,'班次明細'!L12&gt;0),1,0)+IF(AND('班次明細'!G19=10/24,'班次明細'!L19&gt;0),1,0)+IF(AND('班次明細'!G26=10/24,'班次明細'!L26&gt;0),1,0)+IF(AND('班次明細'!G33=10/24,'班次明細'!L33&gt;0),1,0)+IF(AND('班次明細'!G40=10/24,'班次明細'!L40&gt;0),1,0)+IF(AND('班次明細'!G47=10/24,'班次明細'!L47&gt;0),1,0)+IF(AND('班次明細'!G54=10/24,'班次明細'!L54&gt;0),1,0)+IF(AND('班次明細'!G61=10/24,'班次明細'!L61&gt;0),1,0)+IF(AND('班次明細'!G68=10/24,'班次明細'!L68&gt;0),1,0)+IF(AND('班次明細'!G75=10/24,'班次明細'!L75&gt;0),1,0)+IF(AND('班次明細'!G82=10/24,'班次明細'!L82&gt;0),1,0)</x:f>
        <x:v>1</x:v>
      </x:c>
      <x:c r="C182" s="105" t="n">
        <x:f>IF(AND('班次明細'!G12=11/24,'班次明細'!L12&gt;0),1,0)+IF(AND('班次明細'!G19=11/24,'班次明細'!L19&gt;0),1,0)+IF(AND('班次明細'!G26=11/24,'班次明細'!L26&gt;0),1,0)+IF(AND('班次明細'!G33=11/24,'班次明細'!L33&gt;0),1,0)+IF(AND('班次明細'!G40=11/24,'班次明細'!L40&gt;0),1,0)+IF(AND('班次明細'!G47=11/24,'班次明細'!L47&gt;0),1,0)+IF(AND('班次明細'!G54=11/24,'班次明細'!L54&gt;0),1,0)+IF(AND('班次明細'!G61=11/24,'班次明細'!L61&gt;0),1,0)+IF(AND('班次明細'!G68=11/24,'班次明細'!L68&gt;0),1,0)+IF(AND('班次明細'!G75=11/24,'班次明細'!L75&gt;0),1,0)+IF(AND('班次明細'!G82=11/24,'班次明細'!L82&gt;0),1,0)</x:f>
        <x:v>2</x:v>
      </x:c>
      <x:c r="D182" s="105" t="n">
        <x:f>IF(AND('班次明細'!G12=11.5/24,'班次明細'!L12&gt;0),1,0)+IF(AND('班次明細'!G19=11.5/24,'班次明細'!L19&gt;0),1,0)+IF(AND('班次明細'!G26=11.5/24,'班次明細'!L26&gt;0),1,0)+IF(AND('班次明細'!G33=11.5/24,'班次明細'!L33&gt;0),1,0)+IF(AND('班次明細'!G40=11.5/24,'班次明細'!L40&gt;0),1,0)+IF(AND('班次明細'!G47=11.5/24,'班次明細'!L47&gt;0),1,0)+IF(AND('班次明細'!G54=11.5/24,'班次明細'!L54&gt;0),1,0)+IF(AND('班次明細'!G61=11.5/24,'班次明細'!L61&gt;0),1,0)+IF(AND('班次明細'!G68=11.5/24,'班次明細'!L68&gt;0),1,0)+IF(AND('班次明細'!G75=11.5/24,'班次明細'!L75&gt;0),1,0)+IF(AND('班次明細'!G82=11.5/24,'班次明細'!L82&gt;0),1,0)</x:f>
        <x:v>2</x:v>
      </x:c>
      <x:c r="E182" s="105" t="n">
        <x:f>IF(AND('班次明細'!G12=12/24,'班次明細'!L12&gt;0),1,0)+IF(AND('班次明細'!G19=12/24,'班次明細'!L19&gt;0),1,0)+IF(AND('班次明細'!G26=12/24,'班次明細'!L26&gt;0),1,0)+IF(AND('班次明細'!G33=12/24,'班次明細'!L33&gt;0),1,0)+IF(AND('班次明細'!G40=12/24,'班次明細'!L40&gt;0),1,0)+IF(AND('班次明細'!G47=12/24,'班次明細'!L47&gt;0),1,0)+IF(AND('班次明細'!G54=12/24,'班次明細'!L54&gt;0),1,0)+IF(AND('班次明細'!G61=12/24,'班次明細'!L61&gt;0),1,0)+IF(AND('班次明細'!G68=12/24,'班次明細'!L68&gt;0),1,0)+IF(AND('班次明細'!G75=12/24,'班次明細'!L75&gt;0),1,0)+IF(AND('班次明細'!G82=12/24,'班次明細'!L82&gt;0),1,0)</x:f>
        <x:v>2</x:v>
      </x:c>
      <x:c r="F182" s="105" t="n">
        <x:f>IF('班次明細'!L12&gt;0,1,0)+IF('班次明細'!L19&gt;0,1,0)+IF('班次明細'!L26&gt;0,1,0)</x:f>
        <x:v>2</x:v>
      </x:c>
      <x:c r="G182" s="105" t="n">
        <x:f>IF(AND('班次明細'!G12=11/24,'班次明細'!L12&gt;0,OR(LEFT('班次明細'!O12,2)="外場",LEFT('班次明細'!O12,2)="吧台",LEFT('班次明細'!O12,2)="控場")),1,0)+IF(AND('班次明細'!G19=11/24,'班次明細'!L19&gt;0,OR(LEFT('班次明細'!O19,2)="外場",LEFT('班次明細'!O19,2)="吧台",LEFT('班次明細'!O19,2)="控場")),1,0)+IF(AND('班次明細'!G26=11/24,'班次明細'!L26&gt;0,OR(LEFT('班次明細'!O26,2)="外場",LEFT('班次明細'!O26,2)="吧台",LEFT('班次明細'!O26,2)="控場")),1,0)+IF(AND('班次明細'!G33=11/24,'班次明細'!L33&gt;0,OR(LEFT('班次明細'!O33,2)="外場",LEFT('班次明細'!O33,2)="吧台",LEFT('班次明細'!O33,2)="控場")),1,0)+IF(AND('班次明細'!G40=11/24,'班次明細'!L40&gt;0,OR(LEFT('班次明細'!O40,2)="外場",LEFT('班次明細'!O40,2)="吧台",LEFT('班次明細'!O40,2)="控場")),1,0)+IF(AND('班次明細'!G47=11/24,'班次明細'!L47&gt;0,OR(LEFT('班次明細'!O47,2)="外場",LEFT('班次明細'!O47,2)="吧台",LEFT('班次明細'!O47,2)="控場")),1,0)+IF(AND('班次明細'!G54=11/24,'班次明細'!L54&gt;0,OR(LEFT('班次明細'!O54,2)="外場",LEFT('班次明細'!O54,2)="吧台",LEFT('班次明細'!O54,2)="控場")),1,0)+IF(AND('班次明細'!G61=11/24,'班次明細'!L61&gt;0,OR(LEFT('班次明細'!O61,2)="外場",LEFT('班次明細'!O61,2)="吧台",LEFT('班次明細'!O61,2)="控場")),1,0)+IF(AND('班次明細'!G68=11/24,'班次明細'!L68&gt;0,OR(LEFT('班次明細'!O68,2)="外場",LEFT('班次明細'!O68,2)="吧台",LEFT('班次明細'!O68,2)="控場")),1,0)+IF(AND('班次明細'!G75=11/24,'班次明細'!L75&gt;0,OR(LEFT('班次明細'!O75,2)="外場",LEFT('班次明細'!O75,2)="吧台",LEFT('班次明細'!O75,2)="控場")),1,0)+IF(AND('班次明細'!G82=11/24,'班次明細'!L82&gt;0,OR(LEFT('班次明細'!O82,2)="外場",LEFT('班次明細'!O82,2)="吧台",LEFT('班次明細'!O82,2)="控場")),1,0)</x:f>
        <x:v>1</x:v>
      </x:c>
      <x:c r="H182" s="105" t="n">
        <x:f>IF(AND('班次明細'!G12=11/24,'班次明細'!L12&gt;0,OR(LEFT('班次明細'!O12,2)="司爐",LEFT('班次明細'!O12,2)="料區",LEFT('班次明細'!O12,2)="炸區",LEFT('班次明細'!O12,2)="拍區")),1,0)+IF(AND('班次明細'!G19=11/24,'班次明細'!L19&gt;0,OR(LEFT('班次明細'!O19,2)="司爐",LEFT('班次明細'!O19,2)="料區",LEFT('班次明細'!O19,2)="炸區",LEFT('班次明細'!O19,2)="拍區")),1,0)+IF(AND('班次明細'!G26=11/24,'班次明細'!L26&gt;0,OR(LEFT('班次明細'!O26,2)="司爐",LEFT('班次明細'!O26,2)="料區",LEFT('班次明細'!O26,2)="炸區",LEFT('班次明細'!O26,2)="拍區")),1,0)+IF(AND('班次明細'!G33=11/24,'班次明細'!L33&gt;0,OR(LEFT('班次明細'!O33,2)="司爐",LEFT('班次明細'!O33,2)="料區",LEFT('班次明細'!O33,2)="炸區",LEFT('班次明細'!O33,2)="拍區")),1,0)+IF(AND('班次明細'!G40=11/24,'班次明細'!L40&gt;0,OR(LEFT('班次明細'!O40,2)="司爐",LEFT('班次明細'!O40,2)="料區",LEFT('班次明細'!O40,2)="炸區",LEFT('班次明細'!O40,2)="拍區")),1,0)+IF(AND('班次明細'!G47=11/24,'班次明細'!L47&gt;0,OR(LEFT('班次明細'!O47,2)="司爐",LEFT('班次明細'!O47,2)="料區",LEFT('班次明細'!O47,2)="炸區",LEFT('班次明細'!O47,2)="拍區")),1,0)+IF(AND('班次明細'!G54=11/24,'班次明細'!L54&gt;0,OR(LEFT('班次明細'!O54,2)="司爐",LEFT('班次明細'!O54,2)="料區",LEFT('班次明細'!O54,2)="炸區",LEFT('班次明細'!O54,2)="拍區")),1,0)+IF(AND('班次明細'!G61=11/24,'班次明細'!L61&gt;0,OR(LEFT('班次明細'!O61,2)="司爐",LEFT('班次明細'!O61,2)="料區",LEFT('班次明細'!O61,2)="炸區",LEFT('班次明細'!O61,2)="拍區")),1,0)+IF(AND('班次明細'!G68=11/24,'班次明細'!L68&gt;0,OR(LEFT('班次明細'!O68,2)="司爐",LEFT('班次明細'!O68,2)="料區",LEFT('班次明細'!O68,2)="炸區",LEFT('班次明細'!O68,2)="拍區")),1,0)+IF(AND('班次明細'!G75=11/24,'班次明細'!L75&gt;0,OR(LEFT('班次明細'!O75,2)="司爐",LEFT('班次明細'!O75,2)="料區",LEFT('班次明細'!O75,2)="炸區",LEFT('班次明細'!O75,2)="拍區")),1,0)+IF(AND('班次明細'!G82=11/24,'班次明細'!L82&gt;0,OR(LEFT('班次明細'!O82,2)="司爐",LEFT('班次明細'!O82,2)="料區",LEFT('班次明細'!O82,2)="炸區",LEFT('班次明細'!O82,2)="拍區")),1,0)</x:f>
        <x:v>1</x:v>
      </x:c>
      <x:c r="I182" s="105" t="str">
        <x:f>IF(AND(B182=1,C182=2,F182&gt;0,G182=1,H182=1),"符合","起班待調整")</x:f>
        <x:v>符合</x:v>
      </x:c>
      <x:c r="J182" s="105"/>
      <x:c r="K182" s="11" t="str">
        <x:v>11點前後場各1人</x:v>
      </x:c>
      <x:c r="L182" s="11"/>
    </x:row>
  </x:sheetData>
  <x:mergeCells>
    <x:mergeCell ref="A1:L1"/>
    <x:mergeCell ref="A2:L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35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</x:cols>
  <x:sheetData>
    <x:row r="1" ht="38" customHeight="1">
      <x:c r="A1" s="4" t="str">
        <x:v>工時與休假｜正職10/19–25；工讀10/18–24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23" customHeight="1">
      <x:c r="A2" s="7" t="str">
        <x:v>10/18尚缺，工讀顯示10/19–24已知小計；10/25屬工讀下一週。不得據小計核定完整週工時或週休。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3" ht="23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48" customHeight="1">
      <x:c r="A5" s="10" t="str">
        <x:v>姓名</x:v>
      </x:c>
      <x:c r="B5" s="10" t="str">
        <x:v>身分</x:v>
      </x:c>
      <x:c r="C5" s="10" t="str">
        <x:v>週工時／已知</x:v>
      </x:c>
      <x:c r="D5" s="10" t="str">
        <x:v>已排工作天</x:v>
      </x:c>
      <x:c r="E5" s="10" t="str">
        <x:v>已知未排天</x:v>
      </x:c>
      <x:c r="F5" s="10" t="str">
        <x:v>工時檢核</x:v>
      </x:c>
      <x:c r="G5" s="10" t="str">
        <x:v>週末整天數</x:v>
      </x:c>
      <x:c r="H5" s="10" t="str">
        <x:v>週末要求</x:v>
      </x:c>
      <x:c r="I5" s="10" t="str">
        <x:v>週內最長連上</x:v>
      </x:c>
      <x:c r="J5" s="10" t="str">
        <x:v>檢核起訖</x:v>
      </x:c>
      <x:c r="K5" s="10" t="str">
        <x:v>資料完整性</x:v>
      </x:c>
      <x:c r="L5" s="10" t="str">
        <x:v>週休／跨期</x:v>
      </x:c>
      <x:c r="M5" s="10" t="str">
        <x:v>休息風險</x:v>
      </x:c>
      <x:c r="O5" t="str">
        <x:v>一連上計數</x:v>
      </x:c>
      <x:c r="P5" t="str">
        <x:v>二連上計數</x:v>
      </x:c>
      <x:c r="Q5" t="str">
        <x:v>三連上計數</x:v>
      </x:c>
      <x:c r="R5" t="str">
        <x:v>四連上計數</x:v>
      </x:c>
      <x:c r="S5" t="str">
        <x:v>五連上計數</x:v>
      </x:c>
      <x:c r="T5" t="str">
        <x:v>六連上計數</x:v>
      </x:c>
      <x:c r="U5" t="str">
        <x:v>日連上計數</x:v>
      </x:c>
    </x:row>
    <x:row r="6" ht="42" customHeight="1">
      <x:c r="A6" s="11" t="str">
        <x:v>P01</x:v>
      </x:c>
      <x:c r="B6" s="11" t="str">
        <x:v>店長</x:v>
      </x:c>
      <x:c r="C6" s="16" t="n">
        <x:f>SUM('班次明細'!L6:L12)</x:f>
        <x:v>40</x:v>
      </x:c>
      <x:c r="D6" s="11" t="n">
        <x:f>COUNTIF('班次明細'!L6:L12,"&gt;0")</x:f>
        <x:v>5</x:v>
      </x:c>
      <x:c r="E6" s="11" t="n">
        <x:f>7-COUNTIF('班次明細'!L6:L12,"&gt;0")</x:f>
        <x:v>2</x:v>
      </x:c>
      <x:c r="F6" s="11" t="str">
        <x:f>IF(C6=40,"40h目標符合","未達40h；依指定休")</x:f>
        <x:v>40h目標符合</x:v>
      </x:c>
      <x:c r="G6" s="11" t="n">
        <x:f>SUM('班次明細'!N11:N12)</x:f>
        <x:v>1</x:v>
      </x:c>
      <x:c r="H6" s="11" t="str">
        <x:v>八週起點待補</x:v>
      </x:c>
      <x:c r="I6" s="11" t="n">
        <x:f>MAX(O6:U6)</x:f>
        <x:v>4</x:v>
      </x:c>
      <x:c r="J6" s="16" t="str">
        <x:v>10/19–10/25</x:v>
      </x:c>
      <x:c r="K6" s="11" t="str">
        <x:v>本週完整／歷史未齊</x:v>
      </x:c>
      <x:c r="L6" s="11" t="str">
        <x:v>八週起點與假別待核</x:v>
      </x:c>
      <x:c r="M6" s="11" t="str">
        <x:f>IF(COUNTIF('班次明細'!M6:M12,"待現場")&gt;0,"休息時點待現場","休息段依店規；現場核實")</x:f>
        <x:v>休息段依店規；現場核實</x:v>
      </x:c>
      <x:c r="O6" t="n">
        <x:f>IF('班次明細'!L6&gt;0,1,0)</x:f>
        <x:v>1</x:v>
      </x:c>
      <x:c r="P6" t="n">
        <x:f>IF('班次明細'!L7&gt;0,O6+1,0)</x:f>
        <x:v>0</x:v>
      </x:c>
      <x:c r="Q6" t="n">
        <x:f>IF('班次明細'!L8&gt;0,P6+1,0)</x:f>
        <x:v>1</x:v>
      </x:c>
      <x:c r="R6" t="n">
        <x:f>IF('班次明細'!L9&gt;0,Q6+1,0)</x:f>
        <x:v>2</x:v>
      </x:c>
      <x:c r="S6" t="n">
        <x:f>IF('班次明細'!L10&gt;0,R6+1,0)</x:f>
        <x:v>3</x:v>
      </x:c>
      <x:c r="T6" t="n">
        <x:f>IF('班次明細'!L11&gt;0,S6+1,0)</x:f>
        <x:v>4</x:v>
      </x:c>
      <x:c r="U6" t="n">
        <x:f>IF('班次明細'!L12&gt;0,T6+1,0)</x:f>
        <x:v>0</x:v>
      </x:c>
    </x:row>
    <x:row r="7" ht="42" customHeight="1">
      <x:c r="A7" s="11" t="str">
        <x:v>P02</x:v>
      </x:c>
      <x:c r="B7" s="11" t="str">
        <x:v>正職</x:v>
      </x:c>
      <x:c r="C7" s="16" t="n">
        <x:f>SUM('班次明細'!L13:L19)</x:f>
        <x:v>32</x:v>
      </x:c>
      <x:c r="D7" s="11" t="n">
        <x:f>COUNTIF('班次明細'!L13:L19,"&gt;0")</x:f>
        <x:v>4</x:v>
      </x:c>
      <x:c r="E7" s="11" t="n">
        <x:f>7-COUNTIF('班次明細'!L13:L19,"&gt;0")</x:f>
        <x:v>3</x:v>
      </x:c>
      <x:c r="F7" s="11" t="str">
        <x:f>IF(C7=40,"40h目標符合","未達40h；依指定休")</x:f>
        <x:v>未達40h；依指定休</x:v>
      </x:c>
      <x:c r="G7" s="11" t="n">
        <x:f>SUM('班次明細'!N18:N19)</x:f>
        <x:v>1</x:v>
      </x:c>
      <x:c r="H7" s="11" t="str">
        <x:v>八週起點待補</x:v>
      </x:c>
      <x:c r="I7" s="11" t="n">
        <x:f>MAX(O7:U7)</x:f>
        <x:v>3</x:v>
      </x:c>
      <x:c r="J7" s="16" t="str">
        <x:v>10/19–10/25</x:v>
      </x:c>
      <x:c r="K7" s="11" t="str">
        <x:v>本週完整／歷史未齊</x:v>
      </x:c>
      <x:c r="L7" s="11" t="str">
        <x:v>八週起點與假別待核</x:v>
      </x:c>
      <x:c r="M7" s="11" t="str">
        <x:f>IF(COUNTIF('班次明細'!M13:M19,"待現場")&gt;0,"休息時點待現場","休息段依店規；現場核實")</x:f>
        <x:v>休息段依店規；現場核實</x:v>
      </x:c>
      <x:c r="O7" t="n">
        <x:f>IF('班次明細'!L13&gt;0,1,0)</x:f>
        <x:v>1</x:v>
      </x:c>
      <x:c r="P7" t="n">
        <x:f>IF('班次明細'!L14&gt;0,O7+1,0)</x:f>
        <x:v>2</x:v>
      </x:c>
      <x:c r="Q7" t="n">
        <x:f>IF('班次明細'!L15&gt;0,P7+1,0)</x:f>
        <x:v>3</x:v>
      </x:c>
      <x:c r="R7" t="n">
        <x:f>IF('班次明細'!L16&gt;0,Q7+1,0)</x:f>
        <x:v>0</x:v>
      </x:c>
      <x:c r="S7" t="n">
        <x:f>IF('班次明細'!L17&gt;0,R7+1,0)</x:f>
        <x:v>0</x:v>
      </x:c>
      <x:c r="T7" t="n">
        <x:f>IF('班次明細'!L18&gt;0,S7+1,0)</x:f>
        <x:v>0</x:v>
      </x:c>
      <x:c r="U7" t="n">
        <x:f>IF('班次明細'!L19&gt;0,T7+1,0)</x:f>
        <x:v>1</x:v>
      </x:c>
    </x:row>
    <x:row r="8" ht="42" customHeight="1">
      <x:c r="A8" s="11" t="str">
        <x:v>P03</x:v>
      </x:c>
      <x:c r="B8" s="11" t="str">
        <x:v>正職</x:v>
      </x:c>
      <x:c r="C8" s="16" t="n">
        <x:f>SUM('班次明細'!L20:L26)</x:f>
        <x:v>40</x:v>
      </x:c>
      <x:c r="D8" s="11" t="n">
        <x:f>COUNTIF('班次明細'!L20:L26,"&gt;0")</x:f>
        <x:v>5</x:v>
      </x:c>
      <x:c r="E8" s="11" t="n">
        <x:f>7-COUNTIF('班次明細'!L20:L26,"&gt;0")</x:f>
        <x:v>2</x:v>
      </x:c>
      <x:c r="F8" s="11" t="str">
        <x:f>IF(C8=40,"40h目標符合","未達40h；依指定休")</x:f>
        <x:v>40h目標符合</x:v>
      </x:c>
      <x:c r="G8" s="11" t="n">
        <x:f>SUM('班次明細'!N25:N26)</x:f>
        <x:v>2</x:v>
      </x:c>
      <x:c r="H8" s="11" t="str">
        <x:v>八週起點待補</x:v>
      </x:c>
      <x:c r="I8" s="11" t="n">
        <x:f>MAX(O8:U8)</x:f>
        <x:v>4</x:v>
      </x:c>
      <x:c r="J8" s="16" t="str">
        <x:v>10/19–10/25</x:v>
      </x:c>
      <x:c r="K8" s="11" t="str">
        <x:v>本週完整／歷史未齊</x:v>
      </x:c>
      <x:c r="L8" s="11" t="str">
        <x:v>八週起點與假別待核</x:v>
      </x:c>
      <x:c r="M8" s="11" t="str">
        <x:f>IF(COUNTIF('班次明細'!M20:M26,"待現場")&gt;0,"休息時點待現場","休息段依店規；現場核實")</x:f>
        <x:v>休息時點待現場</x:v>
      </x:c>
      <x:c r="O8" t="n">
        <x:f>IF('班次明細'!L20&gt;0,1,0)</x:f>
        <x:v>0</x:v>
      </x:c>
      <x:c r="P8" t="n">
        <x:f>IF('班次明細'!L21&gt;0,O8+1,0)</x:f>
        <x:v>1</x:v>
      </x:c>
      <x:c r="Q8" t="n">
        <x:f>IF('班次明細'!L22&gt;0,P8+1,0)</x:f>
        <x:v>0</x:v>
      </x:c>
      <x:c r="R8" t="n">
        <x:f>IF('班次明細'!L23&gt;0,Q8+1,0)</x:f>
        <x:v>1</x:v>
      </x:c>
      <x:c r="S8" t="n">
        <x:f>IF('班次明細'!L24&gt;0,R8+1,0)</x:f>
        <x:v>2</x:v>
      </x:c>
      <x:c r="T8" t="n">
        <x:f>IF('班次明細'!L25&gt;0,S8+1,0)</x:f>
        <x:v>3</x:v>
      </x:c>
      <x:c r="U8" t="n">
        <x:f>IF('班次明細'!L26&gt;0,T8+1,0)</x:f>
        <x:v>4</x:v>
      </x:c>
    </x:row>
    <x:row r="9" ht="42" customHeight="1">
      <x:c r="A9" s="11" t="str">
        <x:v>P04</x:v>
      </x:c>
      <x:c r="B9" s="11" t="str">
        <x:v>工讀</x:v>
      </x:c>
      <x:c r="C9" s="16" t="n">
        <x:f>SUM('班次明細'!L27:L32)+SUM('班次明細'!L93)</x:f>
        <x:v>20</x:v>
      </x:c>
      <x:c r="D9" s="11" t="n">
        <x:f>COUNTIF('班次明細'!L27:L32,"&gt;0")+COUNTIF('班次明細'!L93,"&gt;0")</x:f>
        <x:v>3</x:v>
      </x:c>
      <x:c r="E9" s="11" t="n">
        <x:f>6-COUNTIF('班次明細'!L27:L32,"&gt;0")</x:f>
        <x:v>3</x:v>
      </x:c>
      <x:c r="F9" s="11" t="str">
        <x:f>"缺10/18，待核對"</x:f>
        <x:v>缺10/18，待核對</x:v>
      </x:c>
      <x:c r="G9" s="11" t="n">
        <x:f>SUM('班次明細'!N32:N32)</x:f>
        <x:v>1</x:v>
      </x:c>
      <x:c r="H9" s="11" t="str">
        <x:f>IF(G9&gt;0,"已排週末整天","缺10/18，週末整天待核")</x:f>
        <x:v>已排週末整天</x:v>
      </x:c>
      <x:c r="I9" s="11" t="n">
        <x:f>MAX(O9:U9)</x:f>
        <x:v>2</x:v>
      </x:c>
      <x:c r="J9" s="16" t="str">
        <x:v>10/18–10/24</x:v>
      </x:c>
      <x:c r="K9" s="11" t="str">
        <x:v>缺10/18；已知小計</x:v>
      </x:c>
      <x:c r="L9" s="11" t="str">
        <x:v>至少休2天；缺10/18</x:v>
      </x:c>
      <x:c r="M9" s="11" t="str">
        <x:f>IF(COUNTIF('班次明細'!M27:M32,"待現場")&gt;0,"休息時點待現場","休息段依店規；現場核實")</x:f>
        <x:v>休息時點待現場</x:v>
      </x:c>
      <x:c r="O9" t="n">
        <x:f>IF('班次明細'!L27&gt;0,1,0)</x:f>
        <x:v>0</x:v>
      </x:c>
      <x:c r="P9" t="n">
        <x:f>IF('班次明細'!L28&gt;0,O9+1,0)</x:f>
        <x:v>0</x:v>
      </x:c>
      <x:c r="Q9" t="n">
        <x:f>IF('班次明細'!L29&gt;0,P9+1,0)</x:f>
        <x:v>1</x:v>
      </x:c>
      <x:c r="R9" t="n">
        <x:f>IF('班次明細'!L30&gt;0,Q9+1,0)</x:f>
        <x:v>2</x:v>
      </x:c>
      <x:c r="S9" t="n">
        <x:f>IF('班次明細'!L31&gt;0,R9+1,0)</x:f>
        <x:v>0</x:v>
      </x:c>
      <x:c r="T9" t="n">
        <x:f>IF('班次明細'!L32&gt;0,S9+1,0)</x:f>
        <x:v>1</x:v>
      </x:c>
      <x:c r="U9" t="n">
        <x:f>IF('班次明細'!L33&gt;0,T9+1,0)</x:f>
        <x:v>0</x:v>
      </x:c>
    </x:row>
    <x:row r="10" ht="42" customHeight="1">
      <x:c r="A10" s="11" t="str">
        <x:v>P05</x:v>
      </x:c>
      <x:c r="B10" s="11" t="str">
        <x:v>工讀</x:v>
      </x:c>
      <x:c r="C10" s="16" t="n">
        <x:f>SUM('班次明細'!L34:L39)+SUM('班次明細'!L94)</x:f>
        <x:v>17</x:v>
      </x:c>
      <x:c r="D10" s="11" t="n">
        <x:f>COUNTIF('班次明細'!L34:L39,"&gt;0")+COUNTIF('班次明細'!L94,"&gt;0")</x:f>
        <x:v>3</x:v>
      </x:c>
      <x:c r="E10" s="11" t="n">
        <x:f>6-COUNTIF('班次明細'!L34:L39,"&gt;0")</x:f>
        <x:v>3</x:v>
      </x:c>
      <x:c r="F10" s="11" t="str">
        <x:f>"缺10/18，待核對"</x:f>
        <x:v>缺10/18，待核對</x:v>
      </x:c>
      <x:c r="G10" s="11" t="n">
        <x:f>SUM('班次明細'!N39:N39)</x:f>
        <x:v>1</x:v>
      </x:c>
      <x:c r="H10" s="11" t="str">
        <x:f>IF(G10&gt;0,"已排週末整天","缺10/18，週末整天待核")</x:f>
        <x:v>已排週末整天</x:v>
      </x:c>
      <x:c r="I10" s="11" t="n">
        <x:f>MAX(O10:U10)</x:f>
        <x:v>3</x:v>
      </x:c>
      <x:c r="J10" s="16" t="str">
        <x:v>10/18–10/24</x:v>
      </x:c>
      <x:c r="K10" s="11" t="str">
        <x:v>缺10/18；已知小計</x:v>
      </x:c>
      <x:c r="L10" s="11" t="str">
        <x:v>至少休2天；缺10/18</x:v>
      </x:c>
      <x:c r="M10" s="11" t="str">
        <x:f>IF(COUNTIF('班次明細'!M34:M39,"待現場")&gt;0,"休息時點待現場","休息段依店規；現場核實")</x:f>
        <x:v>休息時點待現場</x:v>
      </x:c>
      <x:c r="O10" t="n">
        <x:f>IF('班次明細'!L34&gt;0,1,0)</x:f>
        <x:v>0</x:v>
      </x:c>
      <x:c r="P10" t="n">
        <x:f>IF('班次明細'!L35&gt;0,O10+1,0)</x:f>
        <x:v>0</x:v>
      </x:c>
      <x:c r="Q10" t="n">
        <x:f>IF('班次明細'!L36&gt;0,P10+1,0)</x:f>
        <x:v>1</x:v>
      </x:c>
      <x:c r="R10" t="n">
        <x:f>IF('班次明細'!L37&gt;0,Q10+1,0)</x:f>
        <x:v>0</x:v>
      </x:c>
      <x:c r="S10" t="n">
        <x:f>IF('班次明細'!L38&gt;0,R10+1,0)</x:f>
        <x:v>1</x:v>
      </x:c>
      <x:c r="T10" t="n">
        <x:f>IF('班次明細'!L39&gt;0,S10+1,0)</x:f>
        <x:v>2</x:v>
      </x:c>
      <x:c r="U10" t="n">
        <x:f>IF('班次明細'!L40&gt;0,T10+1,0)</x:f>
        <x:v>3</x:v>
      </x:c>
    </x:row>
    <x:row r="11" ht="42" customHeight="1">
      <x:c r="A11" s="11" t="str">
        <x:v>P06</x:v>
      </x:c>
      <x:c r="B11" s="11" t="str">
        <x:v>工讀</x:v>
      </x:c>
      <x:c r="C11" s="16" t="n">
        <x:f>SUM('班次明細'!L41:L46)+SUM('班次明細'!L95)</x:f>
        <x:v>20</x:v>
      </x:c>
      <x:c r="D11" s="11" t="n">
        <x:f>COUNTIF('班次明細'!L41:L46,"&gt;0")+COUNTIF('班次明細'!L95,"&gt;0")</x:f>
        <x:v>4</x:v>
      </x:c>
      <x:c r="E11" s="11" t="n">
        <x:f>6-COUNTIF('班次明細'!L41:L46,"&gt;0")</x:f>
        <x:v>2</x:v>
      </x:c>
      <x:c r="F11" s="11" t="str">
        <x:f>"缺10/18，待核對"</x:f>
        <x:v>缺10/18，待核對</x:v>
      </x:c>
      <x:c r="G11" s="11" t="n">
        <x:f>SUM('班次明細'!N46:N46)</x:f>
        <x:v>1</x:v>
      </x:c>
      <x:c r="H11" s="11" t="str">
        <x:f>IF(G11&gt;0,"已排週末整天","缺10/18，週末整天待核")</x:f>
        <x:v>已排週末整天</x:v>
      </x:c>
      <x:c r="I11" s="11" t="n">
        <x:f>MAX(O11:U11)</x:f>
        <x:v>2</x:v>
      </x:c>
      <x:c r="J11" s="16" t="str">
        <x:v>10/18–10/24</x:v>
      </x:c>
      <x:c r="K11" s="11" t="str">
        <x:v>缺10/18；已知小計</x:v>
      </x:c>
      <x:c r="L11" s="11" t="str">
        <x:v>至少休2天；缺10/18</x:v>
      </x:c>
      <x:c r="M11" s="11" t="str">
        <x:f>IF(COUNTIF('班次明細'!M41:M46,"待現場")&gt;0,"休息時點待現場","休息段依店規；現場核實")</x:f>
        <x:v>休息時點待現場</x:v>
      </x:c>
      <x:c r="O11" t="n">
        <x:f>IF('班次明細'!L41&gt;0,1,0)</x:f>
        <x:v>0</x:v>
      </x:c>
      <x:c r="P11" t="n">
        <x:f>IF('班次明細'!L42&gt;0,O11+1,0)</x:f>
        <x:v>1</x:v>
      </x:c>
      <x:c r="Q11" t="n">
        <x:f>IF('班次明細'!L43&gt;0,P11+1,0)</x:f>
        <x:v>2</x:v>
      </x:c>
      <x:c r="R11" t="n">
        <x:f>IF('班次明細'!L44&gt;0,Q11+1,0)</x:f>
        <x:v>0</x:v>
      </x:c>
      <x:c r="S11" t="n">
        <x:f>IF('班次明細'!L45&gt;0,R11+1,0)</x:f>
        <x:v>1</x:v>
      </x:c>
      <x:c r="T11" t="n">
        <x:f>IF('班次明細'!L46&gt;0,S11+1,0)</x:f>
        <x:v>2</x:v>
      </x:c>
      <x:c r="U11" t="n">
        <x:f>IF('班次明細'!L47&gt;0,T11+1,0)</x:f>
        <x:v>0</x:v>
      </x:c>
    </x:row>
    <x:row r="12" ht="42" customHeight="1">
      <x:c r="A12" s="11" t="str">
        <x:v>P07</x:v>
      </x:c>
      <x:c r="B12" s="11" t="str">
        <x:v>工讀</x:v>
      </x:c>
      <x:c r="C12" s="16" t="n">
        <x:f>SUM('班次明細'!L48:L53)+SUM('班次明細'!L96)</x:f>
        <x:v>20</x:v>
      </x:c>
      <x:c r="D12" s="11" t="n">
        <x:f>COUNTIF('班次明細'!L48:L53,"&gt;0")+COUNTIF('班次明細'!L96,"&gt;0")</x:f>
        <x:v>4</x:v>
      </x:c>
      <x:c r="E12" s="11" t="n">
        <x:f>6-COUNTIF('班次明細'!L48:L53,"&gt;0")</x:f>
        <x:v>2</x:v>
      </x:c>
      <x:c r="F12" s="11" t="str">
        <x:f>"缺10/18，待核對"</x:f>
        <x:v>缺10/18，待核對</x:v>
      </x:c>
      <x:c r="G12" s="11" t="n">
        <x:f>SUM('班次明細'!N53:N53)</x:f>
        <x:v>0</x:v>
      </x:c>
      <x:c r="H12" s="11" t="str">
        <x:f>IF(G12&gt;0,"已排週末整天","缺10/18，週末整天待核")</x:f>
        <x:v>缺10/18，週末整天待核</x:v>
      </x:c>
      <x:c r="I12" s="11" t="n">
        <x:f>MAX(O12:U12)</x:f>
        <x:v>3</x:v>
      </x:c>
      <x:c r="J12" s="16" t="str">
        <x:v>10/18–10/24</x:v>
      </x:c>
      <x:c r="K12" s="11" t="str">
        <x:v>缺10/18；已知小計</x:v>
      </x:c>
      <x:c r="L12" s="11" t="str">
        <x:v>至少休2天；缺10/18</x:v>
      </x:c>
      <x:c r="M12" s="11" t="str">
        <x:f>IF(COUNTIF('班次明細'!M48:M53,"待現場")&gt;0,"休息時點待現場","休息段依店規；現場核實")</x:f>
        <x:v>休息時點待現場</x:v>
      </x:c>
      <x:c r="O12" t="n">
        <x:f>IF('班次明細'!L48&gt;0,1,0)</x:f>
        <x:v>1</x:v>
      </x:c>
      <x:c r="P12" t="n">
        <x:f>IF('班次明細'!L49&gt;0,O12+1,0)</x:f>
        <x:v>2</x:v>
      </x:c>
      <x:c r="Q12" t="n">
        <x:f>IF('班次明細'!L50&gt;0,P12+1,0)</x:f>
        <x:v>0</x:v>
      </x:c>
      <x:c r="R12" t="n">
        <x:f>IF('班次明細'!L51&gt;0,Q12+1,0)</x:f>
        <x:v>0</x:v>
      </x:c>
      <x:c r="S12" t="n">
        <x:f>IF('班次明細'!L52&gt;0,R12+1,0)</x:f>
        <x:v>1</x:v>
      </x:c>
      <x:c r="T12" t="n">
        <x:f>IF('班次明細'!L53&gt;0,S12+1,0)</x:f>
        <x:v>2</x:v>
      </x:c>
      <x:c r="U12" t="n">
        <x:f>IF('班次明細'!L54&gt;0,T12+1,0)</x:f>
        <x:v>3</x:v>
      </x:c>
    </x:row>
    <x:row r="13" ht="42" customHeight="1">
      <x:c r="A13" s="11" t="str">
        <x:v>P08</x:v>
      </x:c>
      <x:c r="B13" s="11" t="str">
        <x:v>工讀</x:v>
      </x:c>
      <x:c r="C13" s="16" t="n">
        <x:f>SUM('班次明細'!L55:L60)+SUM('班次明細'!L97)</x:f>
        <x:v>17.5</x:v>
      </x:c>
      <x:c r="D13" s="11" t="n">
        <x:f>COUNTIF('班次明細'!L55:L60,"&gt;0")+COUNTIF('班次明細'!L97,"&gt;0")</x:f>
        <x:v>3</x:v>
      </x:c>
      <x:c r="E13" s="11" t="n">
        <x:f>6-COUNTIF('班次明細'!L55:L60,"&gt;0")</x:f>
        <x:v>3</x:v>
      </x:c>
      <x:c r="F13" s="11" t="str">
        <x:f>"缺10/18，待核對"</x:f>
        <x:v>缺10/18，待核對</x:v>
      </x:c>
      <x:c r="G13" s="11" t="n">
        <x:f>SUM('班次明細'!N60:N60)</x:f>
        <x:v>0</x:v>
      </x:c>
      <x:c r="H13" s="11" t="str">
        <x:f>IF(G13&gt;0,"已排週末整天","缺10/18，週末整天待核")</x:f>
        <x:v>缺10/18，週末整天待核</x:v>
      </x:c>
      <x:c r="I13" s="11" t="n">
        <x:f>MAX(O13:U13)</x:f>
        <x:v>2</x:v>
      </x:c>
      <x:c r="J13" s="16" t="str">
        <x:v>10/18–10/24</x:v>
      </x:c>
      <x:c r="K13" s="11" t="str">
        <x:v>缺10/18；已知小計</x:v>
      </x:c>
      <x:c r="L13" s="11" t="str">
        <x:v>至少休2天；缺10/18</x:v>
      </x:c>
      <x:c r="M13" s="11" t="str">
        <x:f>IF(COUNTIF('班次明細'!M55:M60,"待現場")&gt;0,"休息時點待現場","休息段依店規；現場核實")</x:f>
        <x:v>休息時點待現場</x:v>
      </x:c>
      <x:c r="O13" t="n">
        <x:f>IF('班次明細'!L55&gt;0,1,0)</x:f>
        <x:v>1</x:v>
      </x:c>
      <x:c r="P13" t="n">
        <x:f>IF('班次明細'!L56&gt;0,O13+1,0)</x:f>
        <x:v>0</x:v>
      </x:c>
      <x:c r="Q13" t="n">
        <x:f>IF('班次明細'!L57&gt;0,P13+1,0)</x:f>
        <x:v>0</x:v>
      </x:c>
      <x:c r="R13" t="n">
        <x:f>IF('班次明細'!L58&gt;0,Q13+1,0)</x:f>
        <x:v>1</x:v>
      </x:c>
      <x:c r="S13" t="n">
        <x:f>IF('班次明細'!L59&gt;0,R13+1,0)</x:f>
        <x:v>2</x:v>
      </x:c>
      <x:c r="T13" t="n">
        <x:f>IF('班次明細'!L60&gt;0,S13+1,0)</x:f>
        <x:v>0</x:v>
      </x:c>
      <x:c r="U13" t="n">
        <x:f>IF('班次明細'!L61&gt;0,T13+1,0)</x:f>
        <x:v>0</x:v>
      </x:c>
    </x:row>
    <x:row r="14" ht="42" customHeight="1">
      <x:c r="A14" s="11" t="str">
        <x:v>P09</x:v>
      </x:c>
      <x:c r="B14" s="11" t="str">
        <x:v>工讀</x:v>
      </x:c>
      <x:c r="C14" s="16" t="n">
        <x:f>SUM('班次明細'!L62:L67)+SUM('班次明細'!L98)</x:f>
        <x:v>24</x:v>
      </x:c>
      <x:c r="D14" s="11" t="n">
        <x:f>COUNTIF('班次明細'!L62:L67,"&gt;0")+COUNTIF('班次明細'!L98,"&gt;0")</x:f>
        <x:v>4</x:v>
      </x:c>
      <x:c r="E14" s="11" t="n">
        <x:f>6-COUNTIF('班次明細'!L62:L67,"&gt;0")</x:f>
        <x:v>2</x:v>
      </x:c>
      <x:c r="F14" s="11" t="str">
        <x:f>"缺10/18，待核對"</x:f>
        <x:v>缺10/18，待核對</x:v>
      </x:c>
      <x:c r="G14" s="11" t="n">
        <x:f>SUM('班次明細'!N67:N67)</x:f>
        <x:v>1</x:v>
      </x:c>
      <x:c r="H14" s="11" t="str">
        <x:v>週末整天按已知排法</x:v>
      </x:c>
      <x:c r="I14" s="11" t="n">
        <x:f>MAX(O14:U14)</x:f>
        <x:v>2</x:v>
      </x:c>
      <x:c r="J14" s="16" t="str">
        <x:v>10/18–10/24</x:v>
      </x:c>
      <x:c r="K14" s="11" t="str">
        <x:v>缺10/18；已知小計</x:v>
      </x:c>
      <x:c r="L14" s="11" t="str">
        <x:v>至少休2天；缺10/18</x:v>
      </x:c>
      <x:c r="M14" s="11" t="str">
        <x:f>IF(COUNTIF('班次明細'!M62:M67,"待現場")&gt;0,"休息時點待現場","休息段依店規；現場核實")</x:f>
        <x:v>休息時點待現場</x:v>
      </x:c>
      <x:c r="O14" t="n">
        <x:f>IF('班次明細'!L62&gt;0,1,0)</x:f>
        <x:v>1</x:v>
      </x:c>
      <x:c r="P14" t="n">
        <x:f>IF('班次明細'!L63&gt;0,O14+1,0)</x:f>
        <x:v>2</x:v>
      </x:c>
      <x:c r="Q14" t="n">
        <x:f>IF('班次明細'!L64&gt;0,P14+1,0)</x:f>
        <x:v>0</x:v>
      </x:c>
      <x:c r="R14" t="n">
        <x:f>IF('班次明細'!L65&gt;0,Q14+1,0)</x:f>
        <x:v>1</x:v>
      </x:c>
      <x:c r="S14" t="n">
        <x:f>IF('班次明細'!L66&gt;0,R14+1,0)</x:f>
        <x:v>0</x:v>
      </x:c>
      <x:c r="T14" t="n">
        <x:f>IF('班次明細'!L67&gt;0,S14+1,0)</x:f>
        <x:v>1</x:v>
      </x:c>
      <x:c r="U14" t="n">
        <x:f>IF('班次明細'!L68&gt;0,T14+1,0)</x:f>
        <x:v>2</x:v>
      </x:c>
    </x:row>
    <x:row r="15" ht="42" customHeight="1">
      <x:c r="A15" s="11" t="str">
        <x:v>P10</x:v>
      </x:c>
      <x:c r="B15" s="11" t="str">
        <x:v>工讀</x:v>
      </x:c>
      <x:c r="C15" s="16" t="n">
        <x:f>SUM('班次明細'!L69:L74)+SUM('班次明細'!L99)</x:f>
        <x:v>18</x:v>
      </x:c>
      <x:c r="D15" s="11" t="n">
        <x:f>COUNTIF('班次明細'!L69:L74,"&gt;0")+COUNTIF('班次明細'!L99,"&gt;0")</x:f>
        <x:v>3</x:v>
      </x:c>
      <x:c r="E15" s="11" t="n">
        <x:f>6-COUNTIF('班次明細'!L69:L74,"&gt;0")</x:f>
        <x:v>3</x:v>
      </x:c>
      <x:c r="F15" s="11" t="str">
        <x:f>"缺10/18，待核對"</x:f>
        <x:v>缺10/18，待核對</x:v>
      </x:c>
      <x:c r="G15" s="11" t="n">
        <x:f>SUM('班次明細'!N74:N74)</x:f>
        <x:v>0</x:v>
      </x:c>
      <x:c r="H15" s="11" t="str">
        <x:v>早班限定例外</x:v>
      </x:c>
      <x:c r="I15" s="11" t="n">
        <x:f>MAX(O15:U15)</x:f>
        <x:v>2</x:v>
      </x:c>
      <x:c r="J15" s="16" t="str">
        <x:v>10/18–10/24</x:v>
      </x:c>
      <x:c r="K15" s="11" t="str">
        <x:v>缺10/18；已知小計</x:v>
      </x:c>
      <x:c r="L15" s="11" t="str">
        <x:v>至少休2天；缺10/18</x:v>
      </x:c>
      <x:c r="M15" s="11" t="str">
        <x:f>IF(COUNTIF('班次明細'!M69:M74,"待現場")&gt;0,"休息時點待現場","休息段依店規；現場核實")</x:f>
        <x:v>休息段依店規；現場核實</x:v>
      </x:c>
      <x:c r="O15" t="n">
        <x:f>IF('班次明細'!L69&gt;0,1,0)</x:f>
        <x:v>1</x:v>
      </x:c>
      <x:c r="P15" t="n">
        <x:f>IF('班次明細'!L70&gt;0,O15+1,0)</x:f>
        <x:v>0</x:v>
      </x:c>
      <x:c r="Q15" t="n">
        <x:f>IF('班次明細'!L71&gt;0,P15+1,0)</x:f>
        <x:v>1</x:v>
      </x:c>
      <x:c r="R15" t="n">
        <x:f>IF('班次明細'!L72&gt;0,Q15+1,0)</x:f>
        <x:v>0</x:v>
      </x:c>
      <x:c r="S15" t="n">
        <x:f>IF('班次明細'!L73&gt;0,R15+1,0)</x:f>
        <x:v>0</x:v>
      </x:c>
      <x:c r="T15" t="n">
        <x:f>IF('班次明細'!L74&gt;0,S15+1,0)</x:f>
        <x:v>1</x:v>
      </x:c>
      <x:c r="U15" t="n">
        <x:f>IF('班次明細'!L75&gt;0,T15+1,0)</x:f>
        <x:v>2</x:v>
      </x:c>
    </x:row>
    <x:row r="16" ht="42" customHeight="1">
      <x:c r="A16" s="11" t="str">
        <x:v>P11</x:v>
      </x:c>
      <x:c r="B16" s="11" t="str">
        <x:v>工讀</x:v>
      </x:c>
      <x:c r="C16" s="16" t="n">
        <x:f>SUM('班次明細'!L76:L81)+SUM('班次明細'!L100)</x:f>
        <x:v>15</x:v>
      </x:c>
      <x:c r="D16" s="11" t="n">
        <x:f>COUNTIF('班次明細'!L76:L81,"&gt;0")+COUNTIF('班次明細'!L100,"&gt;0")</x:f>
        <x:v>3</x:v>
      </x:c>
      <x:c r="E16" s="11" t="n">
        <x:f>6-COUNTIF('班次明細'!L76:L81,"&gt;0")</x:f>
        <x:v>3</x:v>
      </x:c>
      <x:c r="F16" s="11" t="str">
        <x:f>"缺10/18，待核對"</x:f>
        <x:v>缺10/18，待核對</x:v>
      </x:c>
      <x:c r="G16" s="11" t="n">
        <x:f>SUM('班次明細'!N81:N81)</x:f>
        <x:v>0</x:v>
      </x:c>
      <x:c r="H16" s="11" t="str">
        <x:v>本週僅早班／整天要求未達</x:v>
      </x:c>
      <x:c r="I16" s="11" t="n">
        <x:f>MAX(O16:U16)</x:f>
        <x:v>2</x:v>
      </x:c>
      <x:c r="J16" s="16" t="str">
        <x:v>10/18–10/24</x:v>
      </x:c>
      <x:c r="K16" s="11" t="str">
        <x:v>缺10/18；已知小計</x:v>
      </x:c>
      <x:c r="L16" s="11" t="str">
        <x:v>至少休3天；缺10/18</x:v>
      </x:c>
      <x:c r="M16" s="11" t="str">
        <x:f>IF(COUNTIF('班次明細'!M76:M81,"待現場")&gt;0,"休息時點待現場","休息段依店規；現場核實")</x:f>
        <x:v>休息段依店規；現場核實</x:v>
      </x:c>
      <x:c r="O16" t="n">
        <x:f>IF('班次明細'!L76&gt;0,1,0)</x:f>
        <x:v>0</x:v>
      </x:c>
      <x:c r="P16" t="n">
        <x:f>IF('班次明細'!L77&gt;0,O16+1,0)</x:f>
        <x:v>1</x:v>
      </x:c>
      <x:c r="Q16" t="n">
        <x:f>IF('班次明細'!L78&gt;0,P16+1,0)</x:f>
        <x:v>0</x:v>
      </x:c>
      <x:c r="R16" t="n">
        <x:f>IF('班次明細'!L79&gt;0,Q16+1,0)</x:f>
        <x:v>1</x:v>
      </x:c>
      <x:c r="S16" t="n">
        <x:f>IF('班次明細'!L80&gt;0,R16+1,0)</x:f>
        <x:v>2</x:v>
      </x:c>
      <x:c r="T16" t="n">
        <x:f>IF('班次明細'!L81&gt;0,S16+1,0)</x:f>
        <x:v>0</x:v>
      </x:c>
      <x:c r="U16" t="n">
        <x:f>IF('班次明細'!L82&gt;0,T16+1,0)</x:f>
        <x:v>1</x:v>
      </x:c>
    </x:row>
    <x:row r="17" ht="24" customHeight="1">
      <x:c r="A17" s="11" t="str">
        <x:v>P12</x:v>
      </x:c>
      <x:c r="B17" s="11" t="str">
        <x:v>新人</x:v>
      </x:c>
      <x:c r="C17" s="16" t="n">
        <x:f>SUM('班次明細'!L83:L88)+SUM('班次明細'!L101)</x:f>
        <x:v>20</x:v>
      </x:c>
      <x:c r="D17" s="11" t="n">
        <x:f>COUNTIF('班次明細'!L83:L88,"&gt;0")+COUNTIF('班次明細'!L101,"&gt;0")</x:f>
        <x:v>3</x:v>
      </x:c>
      <x:c r="E17" s="11" t="n">
        <x:f>6-COUNTIF('班次明細'!L83:L88,"&gt;0")</x:f>
        <x:v>3</x:v>
      </x:c>
      <x:c r="F17" s="11" t="str">
        <x:f>"缺10/18，待核對"</x:f>
        <x:v>缺10/18，待核對</x:v>
      </x:c>
      <x:c r="G17" s="11" t="n">
        <x:f>SUM('班次明細'!N88:N88)</x:f>
        <x:v>1</x:v>
      </x:c>
      <x:c r="H17" s="11" t="str">
        <x:v>新人不套最低時數</x:v>
      </x:c>
      <x:c r="I17" s="11" t="n">
        <x:f>MAX(O17:U17)</x:f>
        <x:v>4</x:v>
      </x:c>
      <x:c r="J17" s="16" t="str">
        <x:v>10/18–10/24</x:v>
      </x:c>
      <x:c r="K17" s="11" t="str">
        <x:v>缺10/18；已知小計</x:v>
      </x:c>
      <x:c r="L17" s="11" t="str">
        <x:v>新人週界待核</x:v>
      </x:c>
      <x:c r="M17" s="11" t="str">
        <x:f>IF(COUNTIF('班次明細'!M83:M88,"待現場")&gt;0,"休息時點待現場","休息段依店規；現場核實")</x:f>
        <x:v>休息段依店規；現場核實</x:v>
      </x:c>
      <x:c r="N17"/>
      <x:c r="O17" t="n">
        <x:f>IF('班次明細'!L83&gt;0,1,0)</x:f>
        <x:v>0</x:v>
      </x:c>
      <x:c r="P17" t="n">
        <x:f>IF('班次明細'!L84&gt;0,O17+1,0)</x:f>
        <x:v>0</x:v>
      </x:c>
      <x:c r="Q17" t="n">
        <x:f>IF('班次明細'!L85&gt;0,P17+1,0)</x:f>
        <x:v>0</x:v>
      </x:c>
      <x:c r="R17" t="n">
        <x:f>IF('班次明細'!L86&gt;0,Q17+1,0)</x:f>
        <x:v>1</x:v>
      </x:c>
      <x:c r="S17" t="n">
        <x:f>IF('班次明細'!L87&gt;0,R17+1,0)</x:f>
        <x:v>2</x:v>
      </x:c>
      <x:c r="T17" t="n">
        <x:f>IF('班次明細'!L88&gt;0,S17+1,0)</x:f>
        <x:v>3</x:v>
      </x:c>
      <x:c r="U17" t="n">
        <x:f>IF('班次明細'!L89&gt;0,T17+1,0)</x:f>
        <x:v>4</x:v>
      </x:c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</x:row>
    <x:row r="19" ht="24" customHeight="1">
      <x:c r="A19" s="11" t="str">
        <x:f>"工讀已知最高"&amp;MAX(C9:C16)&amp;"h、最低"&amp;MIN(C9:C16)&amp;"h、差"&amp;(MAX(C9:C16)-MIN(C9:C16))&amp;"h。完整週仍缺10/18；16h下限及6–9h差距待核。跨週連上亦待補歷史。"</x:f>
        <x:v>工讀已知最高24h、最低15h、差9h。完整週仍缺10/18；16h下限及6–9h差距待核。跨週連上亦待補歷史。</x:v>
      </x:c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1"/>
    </x:row>
    <x:row r="20" ht="24" customHeight="1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</x:row>
    <x:row r="21" ht="24" customHeight="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</x:row>
  </x:sheetData>
  <x:mergeCells>
    <x:mergeCell ref="A1:M1"/>
    <x:mergeCell ref="A2:M3"/>
    <x:mergeCell ref="A19:M21"/>
  </x:mergeCells>
  <x:conditionalFormatting sqref="C6:F16">
    <x:cfRule type="expression" dxfId="2" priority="1">
      <x:formula>AND($B6="工讀",OR($C6&lt;16,$C6&gt;40))</x:formula>
    </x:cfRule>
  </x:conditionalFormatting>
  <x:conditionalFormatting sqref="I6:I16">
    <x:cfRule type="expression" dxfId="3" priority="2">
      <x:formula>OR(AND($B6="工讀",$I6&gt;=6),AND(OR($B6="店長",$B6="正職"),$I6&gt;=7))</x:formula>
    </x:cfRule>
  </x:conditionalFormatting>
  <x:conditionalFormatting sqref="E6:E16">
    <x:cfRule type="expression" dxfId="4" priority="3">
      <x:formula>OR(AND($B6="工讀",$E6&lt;2),AND(OR($B6="店長",$B6="正職"),$E6&lt;2))</x:formula>
    </x:cfRule>
  </x:conditionalFormatting>
  <x:conditionalFormatting sqref="D16:E16">
    <x:cfRule type="expression" dxfId="5" priority="4">
      <x:formula>$D16&gt;4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65" hidden="0" customWidth="1"/>
    <x:col min="4" max="4" width="74" hidden="0" customWidth="1"/>
  </x:cols>
  <x:sheetData>
    <x:row r="1" ht="38" customHeight="1">
      <x:c r="A1" s="4" t="str">
        <x:v>給班候選池與待核對｜10/19–10/25</x:v>
      </x:c>
      <x:c r="B1" s="4"/>
      <x:c r="C1" s="4"/>
      <x:c r="D1" s="4"/>
    </x:row>
    <x:row r="2" ht="23" customHeight="1">
      <x:c r="A2" s="7" t="str">
        <x:v>原給班＋本次更正：P05二三五晚17–21:30炸區；P12四11–21。整天可排為候選範圍，依需求選既有整天或短班。</x:v>
      </x:c>
      <x:c r="B2" s="7"/>
      <x:c r="C2" s="7"/>
      <x:c r="D2" s="7"/>
    </x:row>
    <x:row r="3" ht="23" customHeight="1">
      <x:c r="A3" s="7"/>
      <x:c r="B3" s="7"/>
      <x:c r="C3" s="7"/>
      <x:c r="D3" s="7"/>
    </x:row>
    <x:row r="4" ht="24" customHeight="1">
      <x:c r="A4" s="2"/>
      <x:c r="B4" s="2"/>
      <x:c r="C4" s="2"/>
      <x:c r="D4" s="2"/>
    </x:row>
    <x:row r="5" ht="30" customHeight="1">
      <x:c r="A5" s="10" t="str">
        <x:v>分類</x:v>
      </x:c>
      <x:c r="B5" s="10" t="str">
        <x:v>項目</x:v>
      </x:c>
      <x:c r="C5" s="10" t="str">
        <x:v>本次處理</x:v>
      </x:c>
      <x:c r="D5" s="10" t="str">
        <x:v>需要的確認／來源</x:v>
      </x:c>
    </x:row>
    <x:row r="6" ht="53" customHeight="1">
      <x:c r="A6" s="11" t="str">
        <x:v>正職／店長</x:v>
      </x:c>
      <x:c r="B6" s="11" t="str">
        <x:v>P01</x:v>
      </x:c>
      <x:c r="C6" s="11" t="str">
        <x:v>外場、吧台、司爐、料區、炸區、拍區、控場</x:v>
      </x:c>
      <x:c r="D6" s="11" t="str">
        <x:v>19:整天；20:整天；21:整天；22:整天；23:整天；24:整天；25:X／指定休；最新批註：21日主崗炸區</x:v>
      </x:c>
    </x:row>
    <x:row r="7" ht="53" customHeight="1">
      <x:c r="A7" s="11" t="str">
        <x:v>正職／店長</x:v>
      </x:c>
      <x:c r="B7" s="11" t="str">
        <x:v>P02</x:v>
      </x:c>
      <x:c r="C7" s="11" t="str">
        <x:v>外場、吧台、司爐、料區、炸區、拍區、控場</x:v>
      </x:c>
      <x:c r="D7" s="11" t="str">
        <x:v>19:整天；20:整天；21:整天；22:X／指定休；23:X／指定休；24:X／指定休；25:整天；最新批註：20日主崗炸區</x:v>
      </x:c>
    </x:row>
    <x:row r="8" ht="53" customHeight="1">
      <x:c r="A8" s="11" t="str">
        <x:v>正職／店長</x:v>
      </x:c>
      <x:c r="B8" s="11" t="str">
        <x:v>P03</x:v>
      </x:c>
      <x:c r="C8" s="11" t="str">
        <x:v>外場、吧台</x:v>
      </x:c>
      <x:c r="D8" s="11" t="str">
        <x:v>19:X／週一休；20:整天；21:整天；22:整天；23:整天；24:整天；25:整天</x:v>
      </x:c>
    </x:row>
    <x:row r="9" ht="53" customHeight="1">
      <x:c r="A9" s="11" t="str">
        <x:v>工讀</x:v>
      </x:c>
      <x:c r="B9" s="11" t="str">
        <x:v>P04</x:v>
      </x:c>
      <x:c r="C9" s="11" t="str">
        <x:v>外場、吧台、司爐、料區、炸區、拍區、控場</x:v>
      </x:c>
      <x:c r="D9" s="11" t="str">
        <x:v>19:X；20:X；21:整天；22:17–21:30；23:X；24:整天；25:X；最新批註：21日主崗料區；最新批註：21日料區；外場</x:v>
      </x:c>
    </x:row>
    <x:row r="10" ht="53" customHeight="1">
      <x:c r="A10" s="11" t="str">
        <x:v>工讀</x:v>
      </x:c>
      <x:c r="B10" s="11" t="str">
        <x:v>P05</x:v>
      </x:c>
      <x:c r="C10" s="11" t="str">
        <x:v>外場、吧台、控場、炸區</x:v>
      </x:c>
      <x:c r="D10" s="11" t="str">
        <x:v>19:X；20:17–21:30炸區（最新修正）；21:17–21:30炸區（最新修正）；22:11–17；23:17–21:30炸區（最新修正）；24:12–22炸區；25:12–22炸區；最新批註：20日11–15:30外場、不扣休；21日10–15:30外場；最新批註：25日控場；炸區；最新批註：20日改休</x:v>
      </x:c>
    </x:row>
    <x:row r="11" ht="53" customHeight="1">
      <x:c r="A11" s="11" t="str">
        <x:v>工讀</x:v>
      </x:c>
      <x:c r="B11" s="11" t="str">
        <x:v>P06</x:v>
      </x:c>
      <x:c r="C11" s="11" t="str">
        <x:v>司爐、料區、炸區、拍區</x:v>
      </x:c>
      <x:c r="D11" s="11" t="str">
        <x:v>19:X；20:18–22（指定例外）；21:18–22（指定例外）；22:X；23:18–22（指定例外）；24:整天；25:X；最新批註：21日料區；最新批註：20日18–22料區；23日司爐</x:v>
      </x:c>
    </x:row>
    <x:row r="12" ht="53" customHeight="1">
      <x:c r="A12" s="11" t="str">
        <x:v>工讀</x:v>
      </x:c>
      <x:c r="B12" s="11" t="str">
        <x:v>P07</x:v>
      </x:c>
      <x:c r="C12" s="11" t="str">
        <x:v>料區、炸區</x:v>
      </x:c>
      <x:c r="D12" s="11" t="str">
        <x:v>19:整天可排；20:整天可排；21:整天可排；22:整天可排；23:整天可排；24:整天可排；25:整天可排；最新批註：25日外場；最新批註：20日18–22外場、22日休</x:v>
      </x:c>
    </x:row>
    <x:row r="13" ht="53" customHeight="1">
      <x:c r="A13" s="11" t="str">
        <x:v>工讀</x:v>
      </x:c>
      <x:c r="B13" s="11" t="str">
        <x:v>P08</x:v>
      </x:c>
      <x:c r="C13" s="11" t="str">
        <x:v>外場、吧台、司爐、料區、炸區、拍區、控場</x:v>
      </x:c>
      <x:c r="D13" s="11" t="str">
        <x:v>19:17–21:30；20:17–21:30；21:X；22:整天；23:整天；24:整天；25:X；最新批註：20日休、23日12–18料區</x:v>
      </x:c>
    </x:row>
    <x:row r="14" ht="53" customHeight="1">
      <x:c r="A14" s="11" t="str">
        <x:v>工讀</x:v>
      </x:c>
      <x:c r="B14" s="11" t="str">
        <x:v>P09</x:v>
      </x:c>
      <x:c r="C14" s="11" t="str">
        <x:v>司爐、炸區、拍區、料區、外場</x:v>
      </x:c>
      <x:c r="D14" s="11" t="str">
        <x:v>19:整天可排；20:整天可排；21:整天可排；22:整天可排；23:整天可排；24:整天可排；25:整天可排；最新批註：20日外場；司爐（批註僅改午餐，晚餐保留）；最新批註：22日17–21:30炸區</x:v>
      </x:c>
    </x:row>
    <x:row r="15" ht="53" customHeight="1">
      <x:c r="A15" s="11" t="str">
        <x:v>工讀</x:v>
      </x:c>
      <x:c r="B15" s="11" t="str">
        <x:v>P10</x:v>
      </x:c>
      <x:c r="C15" s="11" t="str">
        <x:v>司爐、炸區、料區</x:v>
      </x:c>
      <x:c r="D15" s="11" t="str">
        <x:v>19:早班10–15:30；20:早班10–15:30；21:早班10–15:30；22:早班10–15:30；23:早班10–15:30；24:早班10–15:30；25:早班10–15:30；最新批註：21日10–20司爐；最新批註：25日12–22炸區；拍區；最新批註：21日11–21司爐</x:v>
      </x:c>
    </x:row>
    <x:row r="16" ht="53" customHeight="1">
      <x:c r="A16" s="11" t="str">
        <x:v>工讀</x:v>
      </x:c>
      <x:c r="B16" s="11" t="str">
        <x:v>P11</x:v>
      </x:c>
      <x:c r="C16" s="11" t="str">
        <x:v>外場、吧台、司爐、料區、炸區、拍區、控場</x:v>
      </x:c>
      <x:c r="D16" s="11" t="str">
        <x:v>19:早班10–15:30；晚不可；至少休3天；20:早班10–15:30；晚不可；至少休3天；21:早班10–15:30；晚不可；至少休3天；22:早班10–15:30；晚不可；至少休3天；23:早班10–15:30；晚不可；至少休3天；24:早班10–15:30；晚不可；至少休3天；25:早班10–15:30；晚不可；至少休3天</x:v>
      </x:c>
    </x:row>
    <x:row r="17" ht="53" customHeight="1">
      <x:c r="A17" s="11" t="str">
        <x:v>新人</x:v>
      </x:c>
      <x:c r="B17" s="11" t="str">
        <x:v>P12</x:v>
      </x:c>
      <x:c r="C17" s="11" t="str">
        <x:v>外場</x:v>
      </x:c>
      <x:c r="D17" s="11" t="str">
        <x:v>19:X；20:18–22；21:18–22；22:11–21（最新修正）；23:18–22；24:整天可排；25:整天可排；最新批註：25日12–18外場，帶訓待安排；最新批註：23日17–21外場，由P01帶訓</x:v>
      </x:c>
    </x:row>
    <x:row r="18" ht="53" customHeight="1">
      <x:c r="A18" s="11"/>
      <x:c r="B18" s="11"/>
      <x:c r="C18" s="11"/>
      <x:c r="D18" s="11"/>
    </x:row>
    <x:row r="19" ht="53" customHeight="1">
      <x:c r="A19" s="11" t="str">
        <x:v>帶訓</x:v>
      </x:c>
      <x:c r="B19" s="11" t="str">
        <x:v>P12</x:v>
      </x:c>
      <x:c r="C19" s="11" t="str">
        <x:v>P1222、24由P01帶訓；23新增17–21外場，由P01同崗帶訓，淨4h。</x:v>
      </x:c>
      <x:c r="D19" s="11" t="str">
        <x:v>25日P01、P04休；P05控場／炸區，欣穎拍區且15:30離班，現排法無完整同外場帶訓。</x:v>
      </x:c>
    </x:row>
    <x:row r="20" ht="53" customHeight="1">
      <x:c r="A20" s="11" t="str">
        <x:v>缺口</x:v>
      </x:c>
      <x:c r="B20" s="11" t="str">
        <x:v>餐期</x:v>
      </x:c>
      <x:c r="C20" s="11" t="str">
        <x:v>20晚17:30–18缺外／料，18點P07與P06到班補齊；21午多1人、晚17:30–18缺料；23晚少1人。</x:v>
      </x:c>
      <x:c r="D20" s="11" t="str">
        <x:v>24午11:30–12缺炸區；25午11:30–12缺料／炸，12後缺料；晚缺料／控且外場重複。</x:v>
      </x:c>
    </x:row>
    <x:row r="21" ht="53" customHeight="1">
      <x:c r="A21" s="11" t="str">
        <x:v>週界</x:v>
      </x:c>
      <x:c r="B21" s="11" t="str">
        <x:v>工時</x:v>
      </x:c>
      <x:c r="C21" s="11" t="str">
        <x:v>正職一至日：P0140h、P0232h、P0340h。</x:v>
      </x:c>
      <x:c r="D21" s="11" t="str">
        <x:v>尚未接入18日；本次已知工時：P0620h、P0720h、P0817.5h、P0924h、P1220h；完整週仍待接續。</x:v>
      </x:c>
    </x:row>
    <x:row r="22" ht="53" customHeight="1">
      <x:c r="A22" s="11" t="str">
        <x:v>起班</x:v>
      </x:c>
      <x:c r="B22" s="11" t="str">
        <x:v>規則</x:v>
      </x:c>
      <x:c r="C22" s="11" t="str">
        <x:v>21日P10改11–21後，10點僅P05，無合格獨立開店者或同班帶訓；11點共2位。</x:v>
      </x:c>
      <x:c r="D22" s="11" t="str">
        <x:v>保留指定班別，未擅自改P05時間；開店資格與帶訓缺口待處理。</x:v>
      </x:c>
    </x:row>
    <x:row r="23" ht="53" customHeight="1">
      <x:c r="A23" s="11" t="str">
        <x:v>休息</x:v>
      </x:c>
      <x:c r="B23" s="11" t="str">
        <x:v>主崗</x:v>
      </x:c>
      <x:c r="C23" s="11" t="str">
        <x:v>只列尖峰主崗，不新增假設的休息代班崗位。</x:v>
      </x:c>
      <x:c r="D23" s="11" t="str">
        <x:v>P0520日已改休；25日P05與P10兩位12–22均休16–18，依指定例外保留；P12中班扣0.5h。</x:v>
      </x:c>
    </x:row>
    <x:row r="24" ht="53" customHeight="1">
      <x:c r="A24" s="11" t="str">
        <x:v>身份</x:v>
      </x:c>
      <x:c r="B24" s="11" t="str">
        <x:v>更名</x:v>
      </x:c>
      <x:c r="C24" s="11" t="str">
        <x:v>小謝改名P11，其餘資格及至少休3天不變。</x:v>
      </x:c>
      <x:c r="D24" s="11" t="str">
        <x:v>25日P07外場、P10拍區為本次指定，原技能表未列，保留並待核；不據此更新永久技能。</x:v>
      </x:c>
    </x:row>
    <x:row r="25" ht="53" customHeight="1">
      <x:c r="A25" s="11" t="str">
        <x:v>來源</x:v>
      </x:c>
      <x:c r="B25" s="11" t="str">
        <x:v>國定假日</x:v>
      </x:c>
      <x:c r="C25" s="11" t="str">
        <x:v>10/25國定假日，標粉黃色；餐期按假日需求。</x:v>
      </x:c>
      <x:c r="D25" s="11" t="str">
        <x:v>https://www.dgpa.gov.tw/information?pid=12685&amp;uid=41</x:v>
      </x:c>
    </x:row>
    <x:row r="26" ht="53" customHeight="1">
      <x:c r="A26" s="11" t="str">
        <x:v>月表</x:v>
      </x:c>
      <x:c r="B26" s="11" t="str">
        <x:v>保留</x:v>
      </x:c>
      <x:c r="C26" s="11" t="str">
        <x:v>保留已核定10/1–11、546h；新人P1233h包含其中。</x:v>
      </x:c>
      <x:c r="D26" s="11" t="str">
        <x:v>本週未匯入月表；10/18已有前週調整版，尚未接入本檔週統計，完整工讀週工時仍待接續。</x:v>
      </x:c>
    </x:row>
    <x:row r="27" ht="53" customHeight="1">
      <x:c r="A27" s="11" t="str">
        <x:v>限制</x:v>
      </x:c>
      <x:c r="B27" s="11" t="str">
        <x:v>待核對</x:v>
      </x:c>
      <x:c r="C27" s="11" t="str">
        <x:v>尚待10/18班表、完整八週週期與跨週連上資料。</x:v>
      </x:c>
      <x:c r="D27" s="11" t="str">
        <x:v>已檢查給班、指定休、班別、技能、起班與主崗；未聲稱本週全部規則通過。</x:v>
      </x:c>
    </x:row>
  </x:sheetData>
  <x:mergeCells>
    <x:mergeCell ref="A1:D1"/>
    <x:mergeCell ref="A2:D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15" hidden="0" customWidth="1"/>
    <x:col min="3" max="3" width="15" hidden="0" customWidth="1"/>
  </x:cols>
  <x:sheetData>
    <x:row r="1" ht="38" customHeight="1">
      <x:c r="A1" s="4" t="str">
        <x:v>規則與技能｜本週採用</x:v>
      </x:c>
      <x:c r="B1" s="4"/>
      <x:c r="C1" s="4"/>
    </x:row>
    <x:row r="2" ht="23" customHeight="1">
      <x:c r="A2" s="7" t="str">
        <x:v>依最新使用者指示與既有店規；可排不等於必須出勤。</x:v>
      </x:c>
      <x:c r="B2" s="7"/>
      <x:c r="C2" s="7"/>
    </x:row>
    <x:row r="3" ht="23" customHeight="1">
      <x:c r="A3" s="7"/>
      <x:c r="B3" s="7"/>
      <x:c r="C3" s="7"/>
    </x:row>
    <x:row r="4" ht="24" customHeight="1">
      <x:c r="A4" s="2"/>
      <x:c r="B4" s="2"/>
      <x:c r="C4" s="2"/>
    </x:row>
    <x:row r="5" ht="24" customHeight="1">
      <x:c r="A5" s="2" t="str">
        <x:v>參數</x:v>
      </x:c>
      <x:c r="B5" s="2" t="str">
        <x:v>值</x:v>
      </x:c>
      <x:c r="C5" s="2" t="str"/>
    </x:row>
    <x:row r="6" ht="24" customHeight="1">
      <x:c r="A6" s="2" t="str">
        <x:v>每日整天淨工時</x:v>
      </x:c>
      <x:c r="B6" s="2" t="n">
        <x:v>8</x:v>
      </x:c>
      <x:c r="C6" s="2" t="str"/>
    </x:row>
    <x:row r="7" ht="24" customHeight="1">
      <x:c r="A7" s="2" t="str">
        <x:v>工讀週最低工時</x:v>
      </x:c>
      <x:c r="B7" s="2" t="n">
        <x:v>16</x:v>
      </x:c>
      <x:c r="C7" s="2" t="str"/>
    </x:row>
    <x:row r="8" ht="24" customHeight="1">
      <x:c r="A8" s="2" t="str">
        <x:v>半小時步長（小時）</x:v>
      </x:c>
      <x:c r="B8" s="2" t="n">
        <x:v>0.5</x:v>
      </x:c>
      <x:c r="C8" s="2" t="str"/>
    </x:row>
    <x:row r="9" ht="24" customHeight="1">
      <x:c r="A9" s="2" t="str">
        <x:v>P11每週最多工作天</x:v>
      </x:c>
      <x:c r="B9" s="2" t="n">
        <x:v>4</x:v>
      </x:c>
      <x:c r="C9" s="2" t="str"/>
    </x:row>
    <x:row r="10" ht="24" customHeight="1">
      <x:c r="A10" s="2" t="str">
        <x:v>連續工作時段上限（小時）</x:v>
      </x:c>
      <x:c r="B10" s="2" t="n">
        <x:v>4</x:v>
      </x:c>
      <x:c r="C10" s="2" t="str"/>
    </x:row>
    <x:row r="11" ht="24" customHeight="1">
      <x:c r="A11" s="2" t="str">
        <x:v>小時／日</x:v>
      </x:c>
      <x:c r="B11" s="2" t="n">
        <x:v>24</x:v>
      </x:c>
      <x:c r="C11" s="2" t="str"/>
    </x:row>
    <x:row r="12" ht="24" customHeight="1">
      <x:c r="A12" s="2" t="str">
        <x:v>12–22一般每日人數上限</x:v>
      </x:c>
      <x:c r="B12" s="2" t="n">
        <x:v>1</x:v>
      </x:c>
      <x:c r="C12" s="2" t="str"/>
    </x:row>
    <x:row r="13" ht="24" customHeight="1">
      <x:c r="A13" s="2"/>
      <x:c r="B13" s="2"/>
      <x:c r="C13" s="2"/>
    </x:row>
    <x:row r="14" ht="24" customHeight="1">
      <x:c r="A14" s="2"/>
      <x:c r="B14" s="2"/>
      <x:c r="C14" s="2"/>
    </x:row>
    <x:row r="15" ht="30" customHeight="1">
      <x:c r="A15" s="10" t="str">
        <x:v>時段類型</x:v>
      </x:c>
      <x:c r="B15" s="10" t="str">
        <x:v>最低人數</x:v>
      </x:c>
      <x:c r="C15" s="10" t="str">
        <x:v>確認範圍</x:v>
      </x:c>
    </x:row>
    <x:row r="16" ht="24" customHeight="1">
      <x:c r="A16" s="2" t="str">
        <x:v>開店</x:v>
      </x:c>
      <x:c r="B16" s="2" t="str">
        <x:v>1（剛好）</x:v>
      </x:c>
      <x:c r="C16" s="2" t="str">
        <x:v>合格開店者</x:v>
      </x:c>
    </x:row>
    <x:row r="17" ht="24" customHeight="1">
      <x:c r="A17" s="2" t="str">
        <x:v>平日午峰</x:v>
      </x:c>
      <x:c r="B17" s="2" t="str">
        <x:v>4（剛好）</x:v>
      </x:c>
      <x:c r="C17" s="2" t="str">
        <x:v>人數與主崗</x:v>
      </x:c>
    </x:row>
    <x:row r="18" ht="24" customHeight="1">
      <x:c r="A18" s="2" t="str">
        <x:v>平日晚峰</x:v>
      </x:c>
      <x:c r="B18" s="2" t="str">
        <x:v>一～四5；五6</x:v>
      </x:c>
      <x:c r="C18" s="2" t="str">
        <x:v>人數與主崗</x:v>
      </x:c>
    </x:row>
    <x:row r="19" ht="24" customHeight="1">
      <x:c r="A19" s="2" t="str">
        <x:v>假日午峰</x:v>
      </x:c>
      <x:c r="B19" s="2" t="str">
        <x:v>6～7</x:v>
      </x:c>
      <x:c r="C19" s="2" t="str">
        <x:v>人數與主崗</x:v>
      </x:c>
    </x:row>
    <x:row r="20" ht="24" customHeight="1">
      <x:c r="A20" s="2" t="str">
        <x:v>假日晚峰</x:v>
      </x:c>
      <x:c r="B20" s="2" t="str">
        <x:v>7（剛好）</x:v>
      </x:c>
      <x:c r="C20" s="2" t="str">
        <x:v>七崗各1</x:v>
      </x:c>
    </x:row>
    <x:row r="21" ht="24" customHeight="1">
      <x:c r="A21" s="2" t="str">
        <x:v>平日離峰</x:v>
      </x:c>
      <x:c r="B21" s="2" t="n">
        <x:v>2</x:v>
      </x:c>
      <x:c r="C21" s="2" t="str">
        <x:v>現場協調</x:v>
      </x:c>
    </x:row>
    <x:row r="22" ht="24" customHeight="1">
      <x:c r="A22" s="2" t="str">
        <x:v>假日離峰</x:v>
      </x:c>
      <x:c r="B22" s="2" t="n">
        <x:v>3</x:v>
      </x:c>
      <x:c r="C22" s="2" t="str">
        <x:v>現場協調</x:v>
      </x:c>
    </x:row>
    <x:row r="23" ht="24" customHeight="1">
      <x:c r="A23" s="2" t="str">
        <x:v>平日收店20</x:v>
      </x:c>
      <x:c r="B23" s="2" t="n">
        <x:v>5</x:v>
      </x:c>
      <x:c r="C23" s="2" t="str">
        <x:v>現場協調</x:v>
      </x:c>
    </x:row>
    <x:row r="24" ht="24" customHeight="1">
      <x:c r="A24" s="2" t="str">
        <x:v>假日收店20</x:v>
      </x:c>
      <x:c r="B24" s="2" t="n">
        <x:v>6</x:v>
      </x:c>
      <x:c r="C24" s="2" t="str">
        <x:v>現場協調</x:v>
      </x:c>
    </x:row>
    <x:row r="25" ht="24" customHeight="1">
      <x:c r="A25" s="2" t="str">
        <x:v>平日收店21</x:v>
      </x:c>
      <x:c r="B25" s="2" t="n">
        <x:v>4</x:v>
      </x:c>
      <x:c r="C25" s="2" t="str">
        <x:v>現場協調</x:v>
      </x:c>
    </x:row>
    <x:row r="26" ht="24" customHeight="1">
      <x:c r="A26" s="2" t="str">
        <x:v>假日收店21</x:v>
      </x:c>
      <x:c r="B26" s="2" t="n">
        <x:v>5</x:v>
      </x:c>
      <x:c r="C26" s="2" t="str">
        <x:v>現場協調</x:v>
      </x:c>
    </x:row>
    <x:row r="27" ht="24" customHeight="1">
      <x:c r="A27" s="2" t="str">
        <x:v>假日收店2130</x:v>
      </x:c>
      <x:c r="B27" s="2" t="n">
        <x:v>4</x:v>
      </x:c>
      <x:c r="C27" s="2" t="str">
        <x:v>現場協調</x:v>
      </x:c>
    </x:row>
    <x:row r="28" ht="24" customHeight="1">
      <x:c r="A28" s="2" t="str">
        <x:v>已結束</x:v>
      </x:c>
      <x:c r="B28" s="2" t="n">
        <x:v>0</x:v>
      </x:c>
      <x:c r="C28" s="2" t="str">
        <x:v>現場協調</x:v>
      </x:c>
    </x:row>
    <x:row r="29" ht="24" customHeight="1">
      <x:c r="A29" s="2"/>
      <x:c r="B29" s="2"/>
      <x:c r="C29" s="2"/>
    </x:row>
    <x:row r="30" ht="24" customHeight="1">
      <x:c r="A30" s="2"/>
      <x:c r="B30" s="2"/>
      <x:c r="C30" s="2"/>
    </x:row>
    <x:row r="31" ht="24" customHeight="1">
      <x:c r="A31" s="11" t="str">
        <x:v>正職週工時以40h為主（一至日），八週起點待核。工讀日至六16–40h、差6–9h；缺10/18。帶訓與新人同外場，優先P01→P05→P04→P11；無完整帶訓先不排。P05已確認炸區、不會開店。人員技能與完整給班見閱讀頁。</x:v>
      </x:c>
      <x:c r="B31" s="11"/>
      <x:c r="C31" s="11"/>
    </x:row>
    <x:row r="32" ht="24" customHeight="1">
      <x:c r="A32" s="11"/>
      <x:c r="B32" s="11"/>
      <x:c r="C32" s="11"/>
    </x:row>
    <x:row r="33" ht="24" customHeight="1">
      <x:c r="A33" s="11"/>
      <x:c r="B33" s="11"/>
      <x:c r="C33" s="11"/>
    </x:row>
    <x:row r="34" ht="24" customHeight="1">
      <x:c r="A34" s="11"/>
      <x:c r="B34" s="11"/>
      <x:c r="C34" s="11"/>
    </x:row>
    <x:row r="35" ht="24" customHeight="1">
      <x:c r="A35" s="11"/>
      <x:c r="B35" s="11"/>
      <x:c r="C35" s="11"/>
    </x:row>
    <x:row r="36" ht="24" customHeight="1">
      <x:c r="A36" s="11"/>
      <x:c r="B36" s="11"/>
      <x:c r="C36" s="11"/>
    </x:row>
    <x:row r="37" ht="24" customHeight="1">
      <x:c r="A37" s="11"/>
      <x:c r="B37" s="11"/>
      <x:c r="C37" s="11"/>
    </x:row>
    <x:row r="38" ht="24" customHeight="1">
      <x:c r="A38" s="11"/>
      <x:c r="B38" s="11"/>
      <x:c r="C38" s="11"/>
    </x:row>
  </x:sheetData>
  <x:mergeCells>
    <x:mergeCell ref="A1:C1"/>
    <x:mergeCell ref="A2:C3"/>
    <x:mergeCell ref="A31:C38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245C58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9" hidden="0" customWidth="1"/>
    <x:col min="2" max="2" width="10" hidden="0" customWidth="1"/>
    <x:col min="3" max="3" width="6.400000095367432" hidden="0" customWidth="1"/>
    <x:col min="4" max="4" width="6.400000095367432" hidden="0" customWidth="1"/>
    <x:col min="5" max="5" width="6.400000095367432" hidden="0" customWidth="1"/>
    <x:col min="6" max="6" width="6.400000095367432" hidden="0" customWidth="1"/>
    <x:col min="7" max="7" width="6.400000095367432" hidden="0" customWidth="1"/>
    <x:col min="8" max="8" width="6.400000095367432" hidden="0" customWidth="1"/>
    <x:col min="9" max="9" width="6.400000095367432" hidden="0" customWidth="1"/>
    <x:col min="10" max="10" width="6.400000095367432" hidden="0" customWidth="1"/>
    <x:col min="11" max="11" width="6.400000095367432" hidden="0" customWidth="1"/>
    <x:col min="12" max="12" width="6.400000095367432" hidden="0" customWidth="1"/>
    <x:col min="13" max="13" width="6.400000095367432" hidden="0" customWidth="1"/>
    <x:col min="14" max="14" width="6.400000095367432" hidden="0" customWidth="1"/>
    <x:col min="15" max="15" width="6.400000095367432" hidden="0" customWidth="1"/>
    <x:col min="16" max="16" width="6.400000095367432" hidden="0" customWidth="1"/>
    <x:col min="17" max="17" width="6.400000095367432" hidden="0" customWidth="1"/>
    <x:col min="18" max="18" width="6.400000095367432" hidden="0" customWidth="1"/>
    <x:col min="19" max="19" width="6.400000095367432" hidden="0" customWidth="1"/>
    <x:col min="20" max="20" width="6.400000095367432" hidden="0" customWidth="1"/>
    <x:col min="21" max="21" width="6.400000095367432" hidden="0" customWidth="1"/>
    <x:col min="22" max="22" width="6.400000095367432" hidden="0" customWidth="1"/>
    <x:col min="23" max="23" width="6.400000095367432" hidden="0" customWidth="1"/>
    <x:col min="24" max="24" width="6.400000095367432" hidden="0" customWidth="1"/>
    <x:col min="25" max="25" width="6.400000095367432" hidden="0" customWidth="1"/>
    <x:col min="26" max="26" width="6.400000095367432" hidden="0" customWidth="1"/>
    <x:col min="27" max="27" width="6.400000095367432" hidden="0" customWidth="1"/>
    <x:col min="28" max="28" width="6.400000095367432" hidden="0" customWidth="1"/>
    <x:col min="29" max="29" width="6.400000095367432" hidden="0" customWidth="1"/>
    <x:col min="30" max="30" width="6.400000095367432" hidden="0" customWidth="1"/>
    <x:col min="31" max="31" width="6.400000095367432" hidden="0" customWidth="1"/>
    <x:col min="32" max="32" width="6.400000095367432" hidden="0" customWidth="1"/>
    <x:col min="33" max="33" width="6.400000095367432" hidden="0" customWidth="1"/>
    <x:col min="34" max="34" width="12" hidden="0" customWidth="1"/>
    <x:col min="35" max="35" width="9" hidden="0" customWidth="1"/>
    <x:col min="36" max="36" width="12" hidden="0" customWidth="1"/>
    <x:col min="38" max="38" width="2.5" hidden="0" customWidth="1"/>
    <x:col min="39" max="39" width="2.5" hidden="0" customWidth="1"/>
    <x:col min="40" max="40" width="2.5" hidden="0" customWidth="1"/>
    <x:col min="41" max="41" width="2.5" hidden="0" customWidth="1"/>
    <x:col min="42" max="42" width="2.5" hidden="0" customWidth="1"/>
    <x:col min="43" max="43" width="2.5" hidden="0" customWidth="1"/>
    <x:col min="44" max="44" width="2.5" hidden="0" customWidth="1"/>
    <x:col min="45" max="45" width="2.5" hidden="0" customWidth="1"/>
    <x:col min="46" max="46" width="2.5" hidden="0" customWidth="1"/>
    <x:col min="47" max="47" width="2.5" hidden="0" customWidth="1"/>
    <x:col min="48" max="48" width="2.5" hidden="0" customWidth="1"/>
    <x:col min="49" max="49" width="2.5" hidden="0" customWidth="1"/>
    <x:col min="50" max="50" width="2.5" hidden="0" customWidth="1"/>
    <x:col min="51" max="51" width="2.5" hidden="0" customWidth="1"/>
    <x:col min="52" max="52" width="2.5" hidden="0" customWidth="1"/>
    <x:col min="53" max="53" width="2.5" hidden="0" customWidth="1"/>
    <x:col min="54" max="54" width="2.5" hidden="0" customWidth="1"/>
    <x:col min="55" max="55" width="2.5" hidden="0" customWidth="1"/>
    <x:col min="56" max="56" width="2.5" hidden="0" customWidth="1"/>
    <x:col min="57" max="57" width="2.5" hidden="0" customWidth="1"/>
    <x:col min="58" max="58" width="2.5" hidden="0" customWidth="1"/>
    <x:col min="59" max="59" width="2.5" hidden="0" customWidth="1"/>
    <x:col min="60" max="60" width="2.5" hidden="0" customWidth="1"/>
    <x:col min="61" max="61" width="2.5" hidden="0" customWidth="1"/>
    <x:col min="62" max="62" width="2.5" hidden="0" customWidth="1"/>
    <x:col min="63" max="63" width="2.5" hidden="0" customWidth="1"/>
    <x:col min="64" max="64" width="2.5" hidden="0" customWidth="1"/>
    <x:col min="65" max="65" width="2.5" hidden="0" customWidth="1"/>
    <x:col min="66" max="66" width="2.5" hidden="0" customWidth="1"/>
    <x:col min="67" max="67" width="2.5" hidden="0" customWidth="1"/>
    <x:col min="68" max="68" width="2.5" hidden="0" customWidth="1"/>
  </x:cols>
  <x:sheetData>
    <x:row r="1" ht="36" customHeight="1">
      <x:c r="A1" s="48" t="str">
        <x:v>整月工時表｜2026年10月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  <x:c r="N1" s="48"/>
      <x:c r="O1" s="48"/>
      <x:c r="P1" s="48"/>
      <x:c r="Q1" s="48"/>
      <x:c r="R1" s="48"/>
      <x:c r="S1" s="48"/>
      <x:c r="T1" s="48"/>
      <x:c r="U1" s="48"/>
      <x:c r="V1" s="48"/>
      <x:c r="W1" s="48"/>
      <x:c r="X1" s="48"/>
      <x:c r="Y1" s="48"/>
      <x:c r="Z1" s="48"/>
      <x:c r="AA1" s="48"/>
      <x:c r="AB1" s="48"/>
      <x:c r="AC1" s="48"/>
      <x:c r="AD1" s="48"/>
      <x:c r="AE1" s="48"/>
      <x:c r="AF1" s="48"/>
      <x:c r="AG1" s="48"/>
      <x:c r="AH1" s="48"/>
      <x:c r="AI1" s="48"/>
      <x:c r="AJ1" s="48"/>
      <x:c r="AL1" t="str">
        <x:v>內部淨工時計算區</x:v>
      </x:c>
    </x:row>
    <x:row r="2" ht="23" customHeight="1">
      <x:c r="A2" s="52" t="str">
        <x:v>月份：2026年10月</x:v>
      </x:c>
      <x:c r="B2" s="52"/>
      <x:c r="C2" s="52"/>
      <x:c r="D2" s="52"/>
      <x:c r="E2" s="52" t="str">
        <x:v>本月天數：31</x:v>
      </x:c>
      <x:c r="F2" s="52"/>
      <x:c r="G2" s="52"/>
      <x:c r="H2" s="52"/>
      <x:c r="I2" s="52" t="str">
        <x:v>應休11天（含國定假日2天）</x:v>
      </x:c>
      <x:c r="J2" s="52"/>
      <x:c r="K2" s="52"/>
      <x:c r="L2" s="52"/>
      <x:c r="M2" s="52"/>
      <x:c r="N2" s="52" t="str">
        <x:f>"已匯入日數："&amp;COUNTIF(C7:AG7,"已確認")</x:f>
        <x:v>已匯入日數：11</x:v>
      </x:c>
      <x:c r="O2" s="52"/>
      <x:c r="P2" s="52"/>
      <x:c r="Q2" s="52"/>
      <x:c r="R2" s="52"/>
      <x:c r="S2" s="44" t="str">
        <x:f>IF(COUNTIF(C7:AG7,"已確認")=31,"月表狀態：整月完成","月表狀態：部分匯入")</x:f>
        <x:v>月表狀態：部分匯入</x:v>
      </x:c>
      <x:c r="T2" s="44"/>
      <x:c r="U2" s="44"/>
      <x:c r="V2" s="44"/>
      <x:c r="W2" s="44"/>
      <x:c r="X2" s="44"/>
      <x:c r="Y2" s="44"/>
      <x:c r="Z2" s="44"/>
      <x:c r="AA2" s="44"/>
      <x:c r="AB2" s="44"/>
      <x:c r="AC2" s="44"/>
      <x:c r="AD2" s="44"/>
      <x:c r="AE2" s="44"/>
      <x:c r="AF2" s="44"/>
      <x:c r="AG2" s="44"/>
      <x:c r="AH2" s="44"/>
      <x:c r="AI2" s="44"/>
      <x:c r="AJ2" s="44"/>
      <x:c r="AL2" s="89"/>
      <x:c r="AM2" s="89"/>
      <x:c r="AN2" s="89"/>
      <x:c r="AO2" s="89"/>
      <x:c r="AP2" s="89"/>
      <x:c r="AQ2" s="89"/>
      <x:c r="AR2" s="89"/>
      <x:c r="AS2" s="89"/>
      <x:c r="AT2" s="89"/>
      <x:c r="AU2" s="89"/>
      <x:c r="AV2" s="89"/>
      <x:c r="AW2" s="89"/>
      <x:c r="AX2" s="89"/>
      <x:c r="AY2" s="89"/>
      <x:c r="AZ2" s="89"/>
      <x:c r="BA2" s="89"/>
      <x:c r="BB2" s="89"/>
      <x:c r="BC2" s="89"/>
      <x:c r="BD2" s="89"/>
      <x:c r="BE2" s="89"/>
      <x:c r="BF2" s="89"/>
      <x:c r="BG2" s="89"/>
      <x:c r="BH2" s="89"/>
      <x:c r="BI2" s="89"/>
      <x:c r="BJ2" s="89"/>
      <x:c r="BK2" s="89"/>
      <x:c r="BL2" s="89"/>
      <x:c r="BM2" s="89"/>
      <x:c r="BN2" s="89"/>
      <x:c r="BO2" s="89"/>
      <x:c r="BP2" s="89"/>
    </x:row>
    <x:row r="3" ht="25" customHeight="1">
      <x:c r="A3" s="53" t="str">
        <x:v>已整合10/1–10/11。空白＝尚未匯入；0＝已確認未排班。月總為扣除休息後預估淨工時，非實際出勤或薪資紀錄。</x:v>
      </x:c>
      <x:c r="B3" s="53"/>
      <x:c r="C3" s="53"/>
      <x:c r="D3" s="53"/>
      <x:c r="E3" s="53"/>
      <x:c r="F3" s="53"/>
      <x:c r="G3" s="53"/>
      <x:c r="H3" s="53"/>
      <x:c r="I3" s="53"/>
      <x:c r="J3" s="53"/>
      <x:c r="K3" s="53"/>
      <x:c r="L3" s="53"/>
      <x:c r="M3" s="53"/>
      <x:c r="N3" s="53"/>
      <x:c r="O3" s="53"/>
      <x:c r="P3" s="53"/>
      <x:c r="Q3" s="53"/>
      <x:c r="R3" s="53"/>
      <x:c r="S3" s="53"/>
      <x:c r="T3" s="53"/>
      <x:c r="U3" s="53"/>
      <x:c r="V3" s="53"/>
      <x:c r="W3" s="53"/>
      <x:c r="X3" s="53"/>
      <x:c r="Y3" s="53"/>
      <x:c r="Z3" s="53"/>
      <x:c r="AA3" s="53"/>
      <x:c r="AB3" s="53"/>
      <x:c r="AC3" s="53"/>
      <x:c r="AD3" s="53"/>
      <x:c r="AE3" s="53"/>
      <x:c r="AF3" s="53"/>
      <x:c r="AG3" s="53"/>
      <x:c r="AH3" s="53"/>
      <x:c r="AI3" s="53"/>
      <x:c r="AJ3" s="53"/>
      <x:c r="AL3" s="89"/>
      <x:c r="AM3" s="89"/>
      <x:c r="AN3" s="89"/>
      <x:c r="AO3" s="89"/>
      <x:c r="AP3" s="89"/>
      <x:c r="AQ3" s="89"/>
      <x:c r="AR3" s="89"/>
      <x:c r="AS3" s="89"/>
      <x:c r="AT3" s="89"/>
      <x:c r="AU3" s="89"/>
      <x:c r="AV3" s="89"/>
      <x:c r="AW3" s="89"/>
      <x:c r="AX3" s="89"/>
      <x:c r="AY3" s="89"/>
      <x:c r="AZ3" s="89"/>
      <x:c r="BA3" s="89"/>
      <x:c r="BB3" s="89"/>
      <x:c r="BC3" s="89"/>
      <x:c r="BD3" s="89"/>
      <x:c r="BE3" s="89"/>
      <x:c r="BF3" s="89"/>
      <x:c r="BG3" s="89"/>
      <x:c r="BH3" s="89"/>
      <x:c r="BI3" s="89"/>
      <x:c r="BJ3" s="89"/>
      <x:c r="BK3" s="89"/>
      <x:c r="BL3" s="89"/>
      <x:c r="BM3" s="89"/>
      <x:c r="BN3" s="89"/>
      <x:c r="BO3" s="89"/>
      <x:c r="BP3" s="89"/>
    </x:row>
    <x:row r="4" ht="23" customHeight="1">
      <x:c r="A4" s="44"/>
      <x:c r="B4" s="44"/>
      <x:c r="C4" s="44"/>
      <x:c r="D4" s="44"/>
      <x:c r="E4" s="44"/>
      <x:c r="F4" s="44"/>
      <x:c r="G4" s="44"/>
      <x:c r="H4" s="44"/>
      <x:c r="I4" s="44"/>
      <x:c r="J4" s="44"/>
      <x:c r="K4" s="44"/>
      <x:c r="L4" s="44"/>
      <x:c r="M4" s="44"/>
      <x:c r="N4" s="44"/>
      <x:c r="O4" s="44"/>
      <x:c r="P4" s="44"/>
      <x:c r="Q4" s="44"/>
      <x:c r="R4" s="44"/>
      <x:c r="S4" s="44"/>
      <x:c r="T4" s="44"/>
      <x:c r="U4" s="44"/>
      <x:c r="V4" s="44"/>
      <x:c r="W4" s="44"/>
      <x:c r="X4" s="44"/>
      <x:c r="Y4" s="44"/>
      <x:c r="Z4" s="44"/>
      <x:c r="AA4" s="44"/>
      <x:c r="AB4" s="44"/>
      <x:c r="AC4" s="44"/>
      <x:c r="AD4" s="44"/>
      <x:c r="AE4" s="44"/>
      <x:c r="AF4" s="44"/>
      <x:c r="AG4" s="44"/>
      <x:c r="AH4" s="44"/>
      <x:c r="AI4" s="44"/>
      <x:c r="AJ4" s="44"/>
      <x:c r="AL4" s="89"/>
      <x:c r="AM4" s="89"/>
      <x:c r="AN4" s="89"/>
      <x:c r="AO4" s="89"/>
      <x:c r="AP4" s="89"/>
      <x:c r="AQ4" s="89"/>
      <x:c r="AR4" s="89"/>
      <x:c r="AS4" s="89"/>
      <x:c r="AT4" s="89"/>
      <x:c r="AU4" s="89"/>
      <x:c r="AV4" s="89"/>
      <x:c r="AW4" s="89"/>
      <x:c r="AX4" s="89"/>
      <x:c r="AY4" s="89"/>
      <x:c r="AZ4" s="89"/>
      <x:c r="BA4" s="89"/>
      <x:c r="BB4" s="89"/>
      <x:c r="BC4" s="89"/>
      <x:c r="BD4" s="89"/>
      <x:c r="BE4" s="89"/>
      <x:c r="BF4" s="89"/>
      <x:c r="BG4" s="89"/>
      <x:c r="BH4" s="89"/>
      <x:c r="BI4" s="89"/>
      <x:c r="BJ4" s="89"/>
      <x:c r="BK4" s="89"/>
      <x:c r="BL4" s="89"/>
      <x:c r="BM4" s="89"/>
      <x:c r="BN4" s="89"/>
      <x:c r="BO4" s="89"/>
      <x:c r="BP4" s="89"/>
    </x:row>
    <x:row r="5" ht="23" customHeight="1">
      <x:c r="A5" s="57" t="str">
        <x:v>身分</x:v>
      </x:c>
      <x:c r="B5" s="57" t="str">
        <x:v>姓名</x:v>
      </x:c>
      <x:c r="C5" s="93" t="n">
        <x:v>46296</x:v>
      </x:c>
      <x:c r="D5" s="93" t="n">
        <x:v>46297</x:v>
      </x:c>
      <x:c r="E5" s="97" t="n">
        <x:v>46298</x:v>
      </x:c>
      <x:c r="F5" s="97" t="n">
        <x:v>46299</x:v>
      </x:c>
      <x:c r="G5" s="93" t="n">
        <x:v>46300</x:v>
      </x:c>
      <x:c r="H5" s="93" t="n">
        <x:v>46301</x:v>
      </x:c>
      <x:c r="I5" s="93" t="n">
        <x:v>46302</x:v>
      </x:c>
      <x:c r="J5" s="93" t="n">
        <x:v>46303</x:v>
      </x:c>
      <x:c r="K5" s="93" t="n">
        <x:v>46304</x:v>
      </x:c>
      <x:c r="L5" s="107" t="n">
        <x:v>46305</x:v>
      </x:c>
      <x:c r="M5" s="97" t="n">
        <x:v>46306</x:v>
      </x:c>
      <x:c r="N5" s="93" t="n">
        <x:v>46307</x:v>
      </x:c>
      <x:c r="O5" s="93" t="n">
        <x:v>46308</x:v>
      </x:c>
      <x:c r="P5" s="93" t="n">
        <x:v>46309</x:v>
      </x:c>
      <x:c r="Q5" s="93" t="n">
        <x:v>46310</x:v>
      </x:c>
      <x:c r="R5" s="93" t="n">
        <x:v>46311</x:v>
      </x:c>
      <x:c r="S5" s="97" t="n">
        <x:v>46312</x:v>
      </x:c>
      <x:c r="T5" s="97" t="n">
        <x:v>46313</x:v>
      </x:c>
      <x:c r="U5" s="93" t="n">
        <x:v>46314</x:v>
      </x:c>
      <x:c r="V5" s="93" t="n">
        <x:v>46315</x:v>
      </x:c>
      <x:c r="W5" s="93" t="n">
        <x:v>46316</x:v>
      </x:c>
      <x:c r="X5" s="93" t="n">
        <x:v>46317</x:v>
      </x:c>
      <x:c r="Y5" s="93" t="n">
        <x:v>46318</x:v>
      </x:c>
      <x:c r="Z5" s="97" t="n">
        <x:v>46319</x:v>
      </x:c>
      <x:c r="AA5" s="97" t="n">
        <x:v>46320</x:v>
      </x:c>
      <x:c r="AB5" s="93" t="n">
        <x:v>46321</x:v>
      </x:c>
      <x:c r="AC5" s="93" t="n">
        <x:v>46322</x:v>
      </x:c>
      <x:c r="AD5" s="93" t="n">
        <x:v>46323</x:v>
      </x:c>
      <x:c r="AE5" s="93" t="n">
        <x:v>46324</x:v>
      </x:c>
      <x:c r="AF5" s="93" t="n">
        <x:v>46325</x:v>
      </x:c>
      <x:c r="AG5" s="97" t="n">
        <x:v>46326</x:v>
      </x:c>
      <x:c r="AH5" s="57" t="str">
        <x:v>月總工時</x:v>
      </x:c>
      <x:c r="AI5" s="57" t="str">
        <x:v>工作天</x:v>
      </x:c>
      <x:c r="AJ5" s="57" t="str">
        <x:v>資料狀態</x:v>
      </x:c>
      <x:c r="AL5" s="89" t="n">
        <x:v>1</x:v>
      </x:c>
      <x:c r="AM5" s="89" t="n">
        <x:v>2</x:v>
      </x:c>
      <x:c r="AN5" s="89" t="n">
        <x:v>3</x:v>
      </x:c>
      <x:c r="AO5" s="89" t="n">
        <x:v>4</x:v>
      </x:c>
      <x:c r="AP5" s="89" t="n">
        <x:v>5</x:v>
      </x:c>
      <x:c r="AQ5" s="89" t="n">
        <x:v>6</x:v>
      </x:c>
      <x:c r="AR5" s="89" t="n">
        <x:v>7</x:v>
      </x:c>
      <x:c r="AS5" s="89" t="n">
        <x:v>8</x:v>
      </x:c>
      <x:c r="AT5" s="89" t="n">
        <x:v>9</x:v>
      </x:c>
      <x:c r="AU5" s="89" t="n">
        <x:v>10</x:v>
      </x:c>
      <x:c r="AV5" s="89" t="n">
        <x:v>11</x:v>
      </x:c>
      <x:c r="AW5" s="89" t="n">
        <x:v>12</x:v>
      </x:c>
      <x:c r="AX5" s="89" t="n">
        <x:v>13</x:v>
      </x:c>
      <x:c r="AY5" s="89" t="n">
        <x:v>14</x:v>
      </x:c>
      <x:c r="AZ5" s="89" t="n">
        <x:v>15</x:v>
      </x:c>
      <x:c r="BA5" s="89" t="n">
        <x:v>16</x:v>
      </x:c>
      <x:c r="BB5" s="89" t="n">
        <x:v>17</x:v>
      </x:c>
      <x:c r="BC5" s="89" t="n">
        <x:v>18</x:v>
      </x:c>
      <x:c r="BD5" s="89" t="n">
        <x:v>19</x:v>
      </x:c>
      <x:c r="BE5" s="89" t="n">
        <x:v>20</x:v>
      </x:c>
      <x:c r="BF5" s="89" t="n">
        <x:v>21</x:v>
      </x:c>
      <x:c r="BG5" s="89" t="n">
        <x:v>22</x:v>
      </x:c>
      <x:c r="BH5" s="89" t="n">
        <x:v>23</x:v>
      </x:c>
      <x:c r="BI5" s="89" t="n">
        <x:v>24</x:v>
      </x:c>
      <x:c r="BJ5" s="89" t="n">
        <x:v>25</x:v>
      </x:c>
      <x:c r="BK5" s="89" t="n">
        <x:v>26</x:v>
      </x:c>
      <x:c r="BL5" s="89" t="n">
        <x:v>27</x:v>
      </x:c>
      <x:c r="BM5" s="89" t="n">
        <x:v>28</x:v>
      </x:c>
      <x:c r="BN5" s="89" t="n">
        <x:v>29</x:v>
      </x:c>
      <x:c r="BO5" s="89" t="n">
        <x:v>30</x:v>
      </x:c>
      <x:c r="BP5" s="89" t="n">
        <x:v>31</x:v>
      </x:c>
    </x:row>
    <x:row r="6" ht="23" customHeight="1">
      <x:c r="A6" s="57"/>
      <x:c r="B6" s="57"/>
      <x:c r="C6" s="94" t="str">
        <x:v>四</x:v>
      </x:c>
      <x:c r="D6" s="94" t="str">
        <x:v>五</x:v>
      </x:c>
      <x:c r="E6" s="98" t="str">
        <x:v>六</x:v>
      </x:c>
      <x:c r="F6" s="98" t="str">
        <x:v>日</x:v>
      </x:c>
      <x:c r="G6" s="94" t="str">
        <x:v>一</x:v>
      </x:c>
      <x:c r="H6" s="94" t="str">
        <x:v>二</x:v>
      </x:c>
      <x:c r="I6" s="94" t="str">
        <x:v>三</x:v>
      </x:c>
      <x:c r="J6" s="94" t="str">
        <x:v>四</x:v>
      </x:c>
      <x:c r="K6" s="94" t="str">
        <x:v>五</x:v>
      </x:c>
      <x:c r="L6" s="108" t="str">
        <x:v>六</x:v>
      </x:c>
      <x:c r="M6" s="98" t="str">
        <x:v>日</x:v>
      </x:c>
      <x:c r="N6" s="94" t="str">
        <x:v>一</x:v>
      </x:c>
      <x:c r="O6" s="94" t="str">
        <x:v>二</x:v>
      </x:c>
      <x:c r="P6" s="94" t="str">
        <x:v>三</x:v>
      </x:c>
      <x:c r="Q6" s="94" t="str">
        <x:v>四</x:v>
      </x:c>
      <x:c r="R6" s="94" t="str">
        <x:v>五</x:v>
      </x:c>
      <x:c r="S6" s="98" t="str">
        <x:v>六</x:v>
      </x:c>
      <x:c r="T6" s="98" t="str">
        <x:v>日</x:v>
      </x:c>
      <x:c r="U6" s="94" t="str">
        <x:v>一</x:v>
      </x:c>
      <x:c r="V6" s="94" t="str">
        <x:v>二</x:v>
      </x:c>
      <x:c r="W6" s="94" t="str">
        <x:v>三</x:v>
      </x:c>
      <x:c r="X6" s="94" t="str">
        <x:v>四</x:v>
      </x:c>
      <x:c r="Y6" s="94" t="str">
        <x:v>五</x:v>
      </x:c>
      <x:c r="Z6" s="98" t="str">
        <x:v>六</x:v>
      </x:c>
      <x:c r="AA6" s="98" t="str">
        <x:v>日</x:v>
      </x:c>
      <x:c r="AB6" s="94" t="str">
        <x:v>一</x:v>
      </x:c>
      <x:c r="AC6" s="94" t="str">
        <x:v>二</x:v>
      </x:c>
      <x:c r="AD6" s="94" t="str">
        <x:v>三</x:v>
      </x:c>
      <x:c r="AE6" s="94" t="str">
        <x:v>四</x:v>
      </x:c>
      <x:c r="AF6" s="94" t="str">
        <x:v>五</x:v>
      </x:c>
      <x:c r="AG6" s="98" t="str">
        <x:v>六</x:v>
      </x:c>
      <x:c r="AH6" s="57"/>
      <x:c r="AI6" s="57"/>
      <x:c r="AJ6" s="57"/>
      <x:c r="AL6" s="89"/>
      <x:c r="AM6" s="89"/>
      <x:c r="AN6" s="89"/>
      <x:c r="AO6" s="89"/>
      <x:c r="AP6" s="89"/>
      <x:c r="AQ6" s="89"/>
      <x:c r="AR6" s="89"/>
      <x:c r="AS6" s="89"/>
      <x:c r="AT6" s="89"/>
      <x:c r="AU6" s="89"/>
      <x:c r="AV6" s="89"/>
      <x:c r="AW6" s="89"/>
      <x:c r="AX6" s="89"/>
      <x:c r="AY6" s="89"/>
      <x:c r="AZ6" s="89"/>
      <x:c r="BA6" s="89"/>
      <x:c r="BB6" s="89"/>
      <x:c r="BC6" s="89"/>
      <x:c r="BD6" s="89"/>
      <x:c r="BE6" s="89"/>
      <x:c r="BF6" s="89"/>
      <x:c r="BG6" s="89"/>
      <x:c r="BH6" s="89"/>
      <x:c r="BI6" s="89"/>
      <x:c r="BJ6" s="89"/>
      <x:c r="BK6" s="89"/>
      <x:c r="BL6" s="89"/>
      <x:c r="BM6" s="89"/>
      <x:c r="BN6" s="89"/>
      <x:c r="BO6" s="89"/>
      <x:c r="BP6" s="89"/>
    </x:row>
    <x:row r="7" ht="23" customHeight="1">
      <x:c r="A7" s="57"/>
      <x:c r="B7" s="57"/>
      <x:c r="C7" s="106" t="str">
        <x:v>已確認</x:v>
      </x:c>
      <x:c r="D7" s="106" t="str">
        <x:v>已確認</x:v>
      </x:c>
      <x:c r="E7" s="106" t="str">
        <x:v>已確認</x:v>
      </x:c>
      <x:c r="F7" s="106" t="str">
        <x:v>已確認</x:v>
      </x:c>
      <x:c r="G7" s="106" t="str">
        <x:v>已確認</x:v>
      </x:c>
      <x:c r="H7" s="106" t="str">
        <x:v>已確認</x:v>
      </x:c>
      <x:c r="I7" s="106" t="str">
        <x:v>已確認</x:v>
      </x:c>
      <x:c r="J7" s="106" t="str">
        <x:v>已確認</x:v>
      </x:c>
      <x:c r="K7" s="106" t="str">
        <x:v>已確認</x:v>
      </x:c>
      <x:c r="L7" s="109" t="str">
        <x:v>已確認</x:v>
      </x:c>
      <x:c r="M7" s="106" t="str">
        <x:v>已確認</x:v>
      </x:c>
      <x:c r="N7" s="75" t="str">
        <x:v>待匯入</x:v>
      </x:c>
      <x:c r="O7" s="75" t="str">
        <x:v>待匯入</x:v>
      </x:c>
      <x:c r="P7" s="75" t="str">
        <x:v>待匯入</x:v>
      </x:c>
      <x:c r="Q7" s="75" t="str">
        <x:v>待匯入</x:v>
      </x:c>
      <x:c r="R7" s="75" t="str">
        <x:v>待匯入</x:v>
      </x:c>
      <x:c r="S7" s="75" t="str">
        <x:v>待匯入</x:v>
      </x:c>
      <x:c r="T7" s="75" t="str">
        <x:v>待匯入</x:v>
      </x:c>
      <x:c r="U7" s="75" t="str">
        <x:v>待匯入</x:v>
      </x:c>
      <x:c r="V7" s="75" t="str">
        <x:v>待匯入</x:v>
      </x:c>
      <x:c r="W7" s="75" t="str">
        <x:v>待匯入</x:v>
      </x:c>
      <x:c r="X7" s="75" t="str">
        <x:v>待匯入</x:v>
      </x:c>
      <x:c r="Y7" s="75" t="str">
        <x:v>待匯入</x:v>
      </x:c>
      <x:c r="Z7" s="75" t="str">
        <x:v>待匯入</x:v>
      </x:c>
      <x:c r="AA7" s="75" t="str">
        <x:v>待匯入</x:v>
      </x:c>
      <x:c r="AB7" s="75" t="str">
        <x:v>待匯入</x:v>
      </x:c>
      <x:c r="AC7" s="75" t="str">
        <x:v>待匯入</x:v>
      </x:c>
      <x:c r="AD7" s="75" t="str">
        <x:v>待匯入</x:v>
      </x:c>
      <x:c r="AE7" s="75" t="str">
        <x:v>待匯入</x:v>
      </x:c>
      <x:c r="AF7" s="75" t="str">
        <x:v>待匯入</x:v>
      </x:c>
      <x:c r="AG7" s="82" t="str">
        <x:v>待匯入</x:v>
      </x:c>
      <x:c r="AH7" s="57"/>
      <x:c r="AI7" s="57"/>
      <x:c r="AJ7" s="57"/>
      <x:c r="AL7" s="89"/>
      <x:c r="AM7" s="89"/>
      <x:c r="AN7" s="89"/>
      <x:c r="AO7" s="89"/>
      <x:c r="AP7" s="89"/>
      <x:c r="AQ7" s="89"/>
      <x:c r="AR7" s="89"/>
      <x:c r="AS7" s="89"/>
      <x:c r="AT7" s="89"/>
      <x:c r="AU7" s="89"/>
      <x:c r="AV7" s="89"/>
      <x:c r="AW7" s="89"/>
      <x:c r="AX7" s="89"/>
      <x:c r="AY7" s="89"/>
      <x:c r="AZ7" s="89"/>
      <x:c r="BA7" s="89"/>
      <x:c r="BB7" s="89"/>
      <x:c r="BC7" s="89"/>
      <x:c r="BD7" s="89"/>
      <x:c r="BE7" s="89"/>
      <x:c r="BF7" s="89"/>
      <x:c r="BG7" s="89"/>
      <x:c r="BH7" s="89"/>
      <x:c r="BI7" s="89"/>
      <x:c r="BJ7" s="89"/>
      <x:c r="BK7" s="89"/>
      <x:c r="BL7" s="89"/>
      <x:c r="BM7" s="89"/>
      <x:c r="BN7" s="89"/>
      <x:c r="BO7" s="89"/>
      <x:c r="BP7" s="89"/>
    </x:row>
    <x:row r="8" ht="23" customHeight="1">
      <x:c r="A8" s="59" t="str">
        <x:v>店長</x:v>
      </x:c>
      <x:c r="B8" s="59" t="str">
        <x:v>P01</x:v>
      </x:c>
      <x:c r="C8" s="87" t="str">
        <x:v>11-21</x:v>
      </x:c>
      <x:c r="D8" s="87" t="str">
        <x:v>11-21</x:v>
      </x:c>
      <x:c r="E8" s="87" t="str">
        <x:v>11-21</x:v>
      </x:c>
      <x:c r="F8" s="87" t="n">
        <x:v>0</x:v>
      </x:c>
      <x:c r="G8" s="87" t="str">
        <x:v>11.5-21.5</x:v>
      </x:c>
      <x:c r="H8" s="87" t="str">
        <x:v>11-21</x:v>
      </x:c>
      <x:c r="I8" s="87" t="n">
        <x:v>0</x:v>
      </x:c>
      <x:c r="J8" s="87" t="str">
        <x:v>11-21</x:v>
      </x:c>
      <x:c r="K8" s="87" t="str">
        <x:v>11-21</x:v>
      </x:c>
      <x:c r="L8" s="110" t="str">
        <x:v>11.5-21.5</x:v>
      </x:c>
      <x:c r="M8" s="87" t="n">
        <x:v>0</x:v>
      </x:c>
      <x:c r="N8" s="87"/>
      <x:c r="O8" s="87"/>
      <x:c r="P8" s="87"/>
      <x:c r="Q8" s="87"/>
      <x:c r="R8" s="87"/>
      <x:c r="S8" s="87"/>
      <x:c r="T8" s="87"/>
      <x:c r="U8" s="87"/>
      <x:c r="V8" s="87"/>
      <x:c r="W8" s="87"/>
      <x:c r="X8" s="87"/>
      <x:c r="Y8" s="87"/>
      <x:c r="Z8" s="87"/>
      <x:c r="AA8" s="87"/>
      <x:c r="AB8" s="87"/>
      <x:c r="AC8" s="87"/>
      <x:c r="AD8" s="87"/>
      <x:c r="AE8" s="87"/>
      <x:c r="AF8" s="87"/>
      <x:c r="AG8" s="88"/>
      <x:c r="AH8" s="61" t="n">
        <x:f>IF(COUNT(AL8:BP8)=0,"",SUM(AL8:BP8))</x:f>
        <x:v>64</x:v>
      </x:c>
      <x:c r="AI8" s="62" t="n">
        <x:f>IF(COUNT(AL8:BP8)=0,"",COUNTIF(AL8:BP8,"&gt;0"))</x:f>
        <x:v>8</x:v>
      </x:c>
      <x:c r="AJ8" s="50" t="str">
        <x:f>IF(COUNT(AL8:BP8)=0,"待匯入",IF(COUNT(AL8:BP8)=COUNT(C$5:AG$5),"完整","部分匯入"))</x:f>
        <x:v>部分匯入</x:v>
      </x:c>
      <x:c r="AL8" s="89" t="n">
        <x:v>8</x:v>
      </x:c>
      <x:c r="AM8" s="89" t="n">
        <x:v>8</x:v>
      </x:c>
      <x:c r="AN8" s="89" t="n">
        <x:v>8</x:v>
      </x:c>
      <x:c r="AO8" s="89" t="n">
        <x:v>0</x:v>
      </x:c>
      <x:c r="AP8" s="89" t="n">
        <x:v>8</x:v>
      </x:c>
      <x:c r="AQ8" s="89" t="n">
        <x:v>8</x:v>
      </x:c>
      <x:c r="AR8" s="89" t="n">
        <x:v>0</x:v>
      </x:c>
      <x:c r="AS8" s="89" t="n">
        <x:v>8</x:v>
      </x:c>
      <x:c r="AT8" s="89" t="n">
        <x:v>8</x:v>
      </x:c>
      <x:c r="AU8" s="89" t="n">
        <x:v>8</x:v>
      </x:c>
      <x:c r="AV8" s="89" t="n">
        <x:v>0</x:v>
      </x:c>
      <x:c r="AW8" s="89"/>
      <x:c r="AX8" s="89"/>
      <x:c r="AY8" s="89"/>
      <x:c r="AZ8" s="89"/>
      <x:c r="BA8" s="89"/>
      <x:c r="BB8" s="89"/>
      <x:c r="BC8" s="89"/>
      <x:c r="BD8" s="89"/>
      <x:c r="BE8" s="89"/>
      <x:c r="BF8" s="89"/>
      <x:c r="BG8" s="89"/>
      <x:c r="BH8" s="89"/>
      <x:c r="BI8" s="89"/>
      <x:c r="BJ8" s="89"/>
      <x:c r="BK8" s="89"/>
      <x:c r="BL8" s="89"/>
      <x:c r="BM8" s="89"/>
      <x:c r="BN8" s="89"/>
      <x:c r="BO8" s="89"/>
      <x:c r="BP8" s="89"/>
    </x:row>
    <x:row r="9" ht="23" customHeight="1">
      <x:c r="A9" s="59" t="str">
        <x:v>正職</x:v>
      </x:c>
      <x:c r="B9" s="59" t="str">
        <x:v>P02</x:v>
      </x:c>
      <x:c r="C9" s="87" t="n">
        <x:v>0</x:v>
      </x:c>
      <x:c r="D9" s="87" t="str">
        <x:v>11.5-21.5</x:v>
      </x:c>
      <x:c r="E9" s="87" t="str">
        <x:v>11-21</x:v>
      </x:c>
      <x:c r="F9" s="87" t="str">
        <x:v>11-21</x:v>
      </x:c>
      <x:c r="G9" s="87" t="str">
        <x:v>11.5-21.5</x:v>
      </x:c>
      <x:c r="H9" s="87" t="str">
        <x:v>11.5-21.5</x:v>
      </x:c>
      <x:c r="I9" s="87" t="str">
        <x:v>10-20</x:v>
      </x:c>
      <x:c r="J9" s="87" t="n">
        <x:v>0</x:v>
      </x:c>
      <x:c r="K9" s="87" t="n">
        <x:v>0</x:v>
      </x:c>
      <x:c r="L9" s="110" t="str">
        <x:v>11-21</x:v>
      </x:c>
      <x:c r="M9" s="87" t="str">
        <x:v>11-21</x:v>
      </x:c>
      <x:c r="N9" s="87"/>
      <x:c r="O9" s="87"/>
      <x:c r="P9" s="87"/>
      <x:c r="Q9" s="87"/>
      <x:c r="R9" s="87"/>
      <x:c r="S9" s="87"/>
      <x:c r="T9" s="87"/>
      <x:c r="U9" s="87"/>
      <x:c r="V9" s="87"/>
      <x:c r="W9" s="87"/>
      <x:c r="X9" s="87"/>
      <x:c r="Y9" s="87"/>
      <x:c r="Z9" s="87"/>
      <x:c r="AA9" s="87"/>
      <x:c r="AB9" s="87"/>
      <x:c r="AC9" s="87"/>
      <x:c r="AD9" s="87"/>
      <x:c r="AE9" s="87"/>
      <x:c r="AF9" s="87"/>
      <x:c r="AG9" s="88"/>
      <x:c r="AH9" s="61" t="n">
        <x:f>IF(COUNT(AL9:BP9)=0,"",SUM(AL9:BP9))</x:f>
        <x:v>64</x:v>
      </x:c>
      <x:c r="AI9" s="62" t="n">
        <x:f>IF(COUNT(AL9:BP9)=0,"",COUNTIF(AL9:BP9,"&gt;0"))</x:f>
        <x:v>8</x:v>
      </x:c>
      <x:c r="AJ9" s="50" t="str">
        <x:f>IF(COUNT(AL9:BP9)=0,"待匯入",IF(COUNT(AL9:BP9)=COUNT(C$5:AG$5),"完整","部分匯入"))</x:f>
        <x:v>部分匯入</x:v>
      </x:c>
      <x:c r="AL9" s="89" t="n">
        <x:v>0</x:v>
      </x:c>
      <x:c r="AM9" s="89" t="n">
        <x:v>8</x:v>
      </x:c>
      <x:c r="AN9" s="89" t="n">
        <x:v>8</x:v>
      </x:c>
      <x:c r="AO9" s="89" t="n">
        <x:v>8</x:v>
      </x:c>
      <x:c r="AP9" s="89" t="n">
        <x:v>8</x:v>
      </x:c>
      <x:c r="AQ9" s="89" t="n">
        <x:v>8</x:v>
      </x:c>
      <x:c r="AR9" s="89" t="n">
        <x:v>8</x:v>
      </x:c>
      <x:c r="AS9" s="89" t="n">
        <x:v>0</x:v>
      </x:c>
      <x:c r="AT9" s="89" t="n">
        <x:v>0</x:v>
      </x:c>
      <x:c r="AU9" s="89" t="n">
        <x:v>8</x:v>
      </x:c>
      <x:c r="AV9" s="89" t="n">
        <x:v>8</x:v>
      </x:c>
      <x:c r="AW9" s="89"/>
      <x:c r="AX9" s="89"/>
      <x:c r="AY9" s="89"/>
      <x:c r="AZ9" s="89"/>
      <x:c r="BA9" s="89"/>
      <x:c r="BB9" s="89"/>
      <x:c r="BC9" s="89"/>
      <x:c r="BD9" s="89"/>
      <x:c r="BE9" s="89"/>
      <x:c r="BF9" s="89"/>
      <x:c r="BG9" s="89"/>
      <x:c r="BH9" s="89"/>
      <x:c r="BI9" s="89"/>
      <x:c r="BJ9" s="89"/>
      <x:c r="BK9" s="89"/>
      <x:c r="BL9" s="89"/>
      <x:c r="BM9" s="89"/>
      <x:c r="BN9" s="89"/>
      <x:c r="BO9" s="89"/>
      <x:c r="BP9" s="89"/>
    </x:row>
    <x:row r="10" ht="23" customHeight="1">
      <x:c r="A10" s="59" t="str">
        <x:v>正職</x:v>
      </x:c>
      <x:c r="B10" s="59" t="str">
        <x:v>P03</x:v>
      </x:c>
      <x:c r="C10" s="87" t="str">
        <x:v>11.5-21.5</x:v>
      </x:c>
      <x:c r="D10" s="87" t="str">
        <x:v>11.5-21.5</x:v>
      </x:c>
      <x:c r="E10" s="87" t="n">
        <x:v>0</x:v>
      </x:c>
      <x:c r="F10" s="87" t="str">
        <x:v>11.5-21.5</x:v>
      </x:c>
      <x:c r="G10" s="87" t="n">
        <x:v>0</x:v>
      </x:c>
      <x:c r="H10" s="87" t="str">
        <x:v>11.5-21.5</x:v>
      </x:c>
      <x:c r="I10" s="87" t="str">
        <x:v>11.5-21.5</x:v>
      </x:c>
      <x:c r="J10" s="87" t="n">
        <x:v>0</x:v>
      </x:c>
      <x:c r="K10" s="87" t="str">
        <x:v>11.5-21.5</x:v>
      </x:c>
      <x:c r="L10" s="110" t="str">
        <x:v>11.5-21.5</x:v>
      </x:c>
      <x:c r="M10" s="87" t="str">
        <x:v>11.5-21.5</x:v>
      </x:c>
      <x:c r="N10" s="87"/>
      <x:c r="O10" s="87"/>
      <x:c r="P10" s="87"/>
      <x:c r="Q10" s="87"/>
      <x:c r="R10" s="87"/>
      <x:c r="S10" s="87"/>
      <x:c r="T10" s="87"/>
      <x:c r="U10" s="87"/>
      <x:c r="V10" s="87"/>
      <x:c r="W10" s="87"/>
      <x:c r="X10" s="87"/>
      <x:c r="Y10" s="87"/>
      <x:c r="Z10" s="87"/>
      <x:c r="AA10" s="87"/>
      <x:c r="AB10" s="87"/>
      <x:c r="AC10" s="87"/>
      <x:c r="AD10" s="87"/>
      <x:c r="AE10" s="87"/>
      <x:c r="AF10" s="87"/>
      <x:c r="AG10" s="88"/>
      <x:c r="AH10" s="61" t="n">
        <x:f>IF(COUNT(AL10:BP10)=0,"",SUM(AL10:BP10))</x:f>
        <x:v>64</x:v>
      </x:c>
      <x:c r="AI10" s="62" t="n">
        <x:f>IF(COUNT(AL10:BP10)=0,"",COUNTIF(AL10:BP10,"&gt;0"))</x:f>
        <x:v>8</x:v>
      </x:c>
      <x:c r="AJ10" s="50" t="str">
        <x:f>IF(COUNT(AL10:BP10)=0,"待匯入",IF(COUNT(AL10:BP10)=COUNT(C$5:AG$5),"完整","部分匯入"))</x:f>
        <x:v>部分匯入</x:v>
      </x:c>
      <x:c r="AL10" s="89" t="n">
        <x:v>8</x:v>
      </x:c>
      <x:c r="AM10" s="89" t="n">
        <x:v>8</x:v>
      </x:c>
      <x:c r="AN10" s="89" t="n">
        <x:v>0</x:v>
      </x:c>
      <x:c r="AO10" s="89" t="n">
        <x:v>8</x:v>
      </x:c>
      <x:c r="AP10" s="89" t="n">
        <x:v>0</x:v>
      </x:c>
      <x:c r="AQ10" s="89" t="n">
        <x:v>8</x:v>
      </x:c>
      <x:c r="AR10" s="89" t="n">
        <x:v>8</x:v>
      </x:c>
      <x:c r="AS10" s="89" t="n">
        <x:v>0</x:v>
      </x:c>
      <x:c r="AT10" s="89" t="n">
        <x:v>8</x:v>
      </x:c>
      <x:c r="AU10" s="89" t="n">
        <x:v>8</x:v>
      </x:c>
      <x:c r="AV10" s="89" t="n">
        <x:v>8</x:v>
      </x:c>
      <x:c r="AW10" s="89"/>
      <x:c r="AX10" s="89"/>
      <x:c r="AY10" s="89"/>
      <x:c r="AZ10" s="89"/>
      <x:c r="BA10" s="89"/>
      <x:c r="BB10" s="89"/>
      <x:c r="BC10" s="89"/>
      <x:c r="BD10" s="89"/>
      <x:c r="BE10" s="89"/>
      <x:c r="BF10" s="89"/>
      <x:c r="BG10" s="89"/>
      <x:c r="BH10" s="89"/>
      <x:c r="BI10" s="89"/>
      <x:c r="BJ10" s="89"/>
      <x:c r="BK10" s="89"/>
      <x:c r="BL10" s="89"/>
      <x:c r="BM10" s="89"/>
      <x:c r="BN10" s="89"/>
      <x:c r="BO10" s="89"/>
      <x:c r="BP10" s="89"/>
    </x:row>
    <x:row r="11" ht="23" customHeight="1">
      <x:c r="A11" s="59" t="str">
        <x:v>工讀</x:v>
      </x:c>
      <x:c r="B11" s="59" t="str">
        <x:v>P04</x:v>
      </x:c>
      <x:c r="C11" s="87" t="str">
        <x:v>11.5-21.5</x:v>
      </x:c>
      <x:c r="D11" s="87" t="n">
        <x:v>0</x:v>
      </x:c>
      <x:c r="E11" s="87" t="n">
        <x:v>0</x:v>
      </x:c>
      <x:c r="F11" s="87" t="str">
        <x:v>11.5-21.5</x:v>
      </x:c>
      <x:c r="G11" s="87" t="str">
        <x:v>17-21.5</x:v>
      </x:c>
      <x:c r="H11" s="87" t="str">
        <x:v>17-21.5</x:v>
      </x:c>
      <x:c r="I11" s="87" t="n">
        <x:v>0</x:v>
      </x:c>
      <x:c r="J11" s="87" t="str">
        <x:v>12-18</x:v>
      </x:c>
      <x:c r="K11" s="87" t="str">
        <x:v>17-21.5</x:v>
      </x:c>
      <x:c r="L11" s="110" t="n">
        <x:v>0</x:v>
      </x:c>
      <x:c r="M11" s="87" t="str">
        <x:v>10-20</x:v>
      </x:c>
      <x:c r="N11" s="87"/>
      <x:c r="O11" s="87"/>
      <x:c r="P11" s="87"/>
      <x:c r="Q11" s="87"/>
      <x:c r="R11" s="87"/>
      <x:c r="S11" s="87"/>
      <x:c r="T11" s="87"/>
      <x:c r="U11" s="87"/>
      <x:c r="V11" s="87"/>
      <x:c r="W11" s="87"/>
      <x:c r="X11" s="87"/>
      <x:c r="Y11" s="87"/>
      <x:c r="Z11" s="87"/>
      <x:c r="AA11" s="87"/>
      <x:c r="AB11" s="87"/>
      <x:c r="AC11" s="87"/>
      <x:c r="AD11" s="87"/>
      <x:c r="AE11" s="87"/>
      <x:c r="AF11" s="87"/>
      <x:c r="AG11" s="88"/>
      <x:c r="AH11" s="61" t="n">
        <x:f>IF(COUNT(AL11:BP11)=0,"",SUM(AL11:BP11))</x:f>
        <x:v>41.5</x:v>
      </x:c>
      <x:c r="AI11" s="62" t="n">
        <x:f>IF(COUNT(AL11:BP11)=0,"",COUNTIF(AL11:BP11,"&gt;0"))</x:f>
        <x:v>7</x:v>
      </x:c>
      <x:c r="AJ11" s="50" t="str">
        <x:f>IF(COUNT(AL11:BP11)=0,"待匯入",IF(COUNT(AL11:BP11)=COUNT(C$5:AG$5),"完整","部分匯入"))</x:f>
        <x:v>部分匯入</x:v>
      </x:c>
      <x:c r="AL11" s="89" t="n">
        <x:v>8</x:v>
      </x:c>
      <x:c r="AM11" s="89" t="n">
        <x:v>0</x:v>
      </x:c>
      <x:c r="AN11" s="89" t="n">
        <x:v>0</x:v>
      </x:c>
      <x:c r="AO11" s="89" t="n">
        <x:v>8</x:v>
      </x:c>
      <x:c r="AP11" s="89" t="n">
        <x:v>4</x:v>
      </x:c>
      <x:c r="AQ11" s="89" t="n">
        <x:v>4</x:v>
      </x:c>
      <x:c r="AR11" s="89" t="n">
        <x:v>0</x:v>
      </x:c>
      <x:c r="AS11" s="89" t="n">
        <x:v>5.5</x:v>
      </x:c>
      <x:c r="AT11" s="89" t="n">
        <x:v>4</x:v>
      </x:c>
      <x:c r="AU11" s="89" t="n">
        <x:v>0</x:v>
      </x:c>
      <x:c r="AV11" s="89" t="n">
        <x:v>8</x:v>
      </x:c>
      <x:c r="AW11" s="89"/>
      <x:c r="AX11" s="89"/>
      <x:c r="AY11" s="89"/>
      <x:c r="AZ11" s="89"/>
      <x:c r="BA11" s="89"/>
      <x:c r="BB11" s="89"/>
      <x:c r="BC11" s="89"/>
      <x:c r="BD11" s="89"/>
      <x:c r="BE11" s="89"/>
      <x:c r="BF11" s="89"/>
      <x:c r="BG11" s="89"/>
      <x:c r="BH11" s="89"/>
      <x:c r="BI11" s="89"/>
      <x:c r="BJ11" s="89"/>
      <x:c r="BK11" s="89"/>
      <x:c r="BL11" s="89"/>
      <x:c r="BM11" s="89"/>
      <x:c r="BN11" s="89"/>
      <x:c r="BO11" s="89"/>
      <x:c r="BP11" s="89"/>
    </x:row>
    <x:row r="12" ht="23" customHeight="1">
      <x:c r="A12" s="59" t="str">
        <x:v>工讀</x:v>
      </x:c>
      <x:c r="B12" s="59" t="str">
        <x:v>P05</x:v>
      </x:c>
      <x:c r="C12" s="87" t="str">
        <x:v>17-21.5</x:v>
      </x:c>
      <x:c r="D12" s="87" t="str">
        <x:v>17-21.5</x:v>
      </x:c>
      <x:c r="E12" s="87" t="str">
        <x:v>11.5-21.5</x:v>
      </x:c>
      <x:c r="F12" s="87" t="str">
        <x:v>11-21</x:v>
      </x:c>
      <x:c r="G12" s="87" t="n">
        <x:v>0</x:v>
      </x:c>
      <x:c r="H12" s="87" t="n">
        <x:v>0</x:v>
      </x:c>
      <x:c r="I12" s="87" t="str">
        <x:v>11-21</x:v>
      </x:c>
      <x:c r="J12" s="87" t="str">
        <x:v>17-21.5</x:v>
      </x:c>
      <x:c r="K12" s="87" t="n">
        <x:v>0</x:v>
      </x:c>
      <x:c r="L12" s="110" t="str">
        <x:v>17-22</x:v>
      </x:c>
      <x:c r="M12" s="87" t="str">
        <x:v>11-21</x:v>
      </x:c>
      <x:c r="N12" s="87"/>
      <x:c r="O12" s="87"/>
      <x:c r="P12" s="87"/>
      <x:c r="Q12" s="87"/>
      <x:c r="R12" s="87"/>
      <x:c r="S12" s="87"/>
      <x:c r="T12" s="87"/>
      <x:c r="U12" s="87"/>
      <x:c r="V12" s="87"/>
      <x:c r="W12" s="87"/>
      <x:c r="X12" s="87"/>
      <x:c r="Y12" s="87"/>
      <x:c r="Z12" s="87"/>
      <x:c r="AA12" s="87"/>
      <x:c r="AB12" s="87"/>
      <x:c r="AC12" s="87"/>
      <x:c r="AD12" s="87"/>
      <x:c r="AE12" s="87"/>
      <x:c r="AF12" s="87"/>
      <x:c r="AG12" s="88"/>
      <x:c r="AH12" s="61" t="n">
        <x:f>IF(COUNT(AL12:BP12)=0,"",SUM(AL12:BP12))</x:f>
        <x:v>48.5</x:v>
      </x:c>
      <x:c r="AI12" s="62" t="n">
        <x:f>IF(COUNT(AL12:BP12)=0,"",COUNTIF(AL12:BP12,"&gt;0"))</x:f>
        <x:v>8</x:v>
      </x:c>
      <x:c r="AJ12" s="50" t="str">
        <x:f>IF(COUNT(AL12:BP12)=0,"待匯入",IF(COUNT(AL12:BP12)=COUNT(C$5:AG$5),"完整","部分匯入"))</x:f>
        <x:v>部分匯入</x:v>
      </x:c>
      <x:c r="AL12" s="89" t="n">
        <x:v>4</x:v>
      </x:c>
      <x:c r="AM12" s="89" t="n">
        <x:v>4</x:v>
      </x:c>
      <x:c r="AN12" s="89" t="n">
        <x:v>8</x:v>
      </x:c>
      <x:c r="AO12" s="89" t="n">
        <x:v>8</x:v>
      </x:c>
      <x:c r="AP12" s="89" t="n">
        <x:v>0</x:v>
      </x:c>
      <x:c r="AQ12" s="89" t="n">
        <x:v>0</x:v>
      </x:c>
      <x:c r="AR12" s="89" t="n">
        <x:v>8</x:v>
      </x:c>
      <x:c r="AS12" s="89" t="n">
        <x:v>4</x:v>
      </x:c>
      <x:c r="AT12" s="89" t="n">
        <x:v>0</x:v>
      </x:c>
      <x:c r="AU12" s="89" t="n">
        <x:v>4.5</x:v>
      </x:c>
      <x:c r="AV12" s="89" t="n">
        <x:v>8</x:v>
      </x:c>
      <x:c r="AW12" s="89"/>
      <x:c r="AX12" s="89"/>
      <x:c r="AY12" s="89"/>
      <x:c r="AZ12" s="89"/>
      <x:c r="BA12" s="89"/>
      <x:c r="BB12" s="89"/>
      <x:c r="BC12" s="89"/>
      <x:c r="BD12" s="89"/>
      <x:c r="BE12" s="89"/>
      <x:c r="BF12" s="89"/>
      <x:c r="BG12" s="89"/>
      <x:c r="BH12" s="89"/>
      <x:c r="BI12" s="89"/>
      <x:c r="BJ12" s="89"/>
      <x:c r="BK12" s="89"/>
      <x:c r="BL12" s="89"/>
      <x:c r="BM12" s="89"/>
      <x:c r="BN12" s="89"/>
      <x:c r="BO12" s="89"/>
      <x:c r="BP12" s="89"/>
    </x:row>
    <x:row r="13" ht="23" customHeight="1">
      <x:c r="A13" s="59" t="str">
        <x:v>工讀</x:v>
      </x:c>
      <x:c r="B13" s="59" t="str">
        <x:v>P06</x:v>
      </x:c>
      <x:c r="C13" s="87" t="n">
        <x:v>0</x:v>
      </x:c>
      <x:c r="D13" s="87" t="n">
        <x:v>0</x:v>
      </x:c>
      <x:c r="E13" s="87" t="str">
        <x:v>10-20</x:v>
      </x:c>
      <x:c r="F13" s="87" t="str">
        <x:v>12-22</x:v>
      </x:c>
      <x:c r="G13" s="87" t="n">
        <x:v>0</x:v>
      </x:c>
      <x:c r="H13" s="87" t="n">
        <x:v>0</x:v>
      </x:c>
      <x:c r="I13" s="87" t="n">
        <x:v>0</x:v>
      </x:c>
      <x:c r="J13" s="87" t="n">
        <x:v>0</x:v>
      </x:c>
      <x:c r="K13" s="87" t="str">
        <x:v>11.5-21.5</x:v>
      </x:c>
      <x:c r="L13" s="110" t="str">
        <x:v>11.5-21.5</x:v>
      </x:c>
      <x:c r="M13" s="87" t="str">
        <x:v>11.5-21.5</x:v>
      </x:c>
      <x:c r="N13" s="87"/>
      <x:c r="O13" s="87"/>
      <x:c r="P13" s="87"/>
      <x:c r="Q13" s="87"/>
      <x:c r="R13" s="87"/>
      <x:c r="S13" s="87"/>
      <x:c r="T13" s="87"/>
      <x:c r="U13" s="87"/>
      <x:c r="V13" s="87"/>
      <x:c r="W13" s="87"/>
      <x:c r="X13" s="87"/>
      <x:c r="Y13" s="87"/>
      <x:c r="Z13" s="87"/>
      <x:c r="AA13" s="87"/>
      <x:c r="AB13" s="87"/>
      <x:c r="AC13" s="87"/>
      <x:c r="AD13" s="87"/>
      <x:c r="AE13" s="87"/>
      <x:c r="AF13" s="87"/>
      <x:c r="AG13" s="88"/>
      <x:c r="AH13" s="61" t="n">
        <x:f>IF(COUNT(AL13:BP13)=0,"",SUM(AL13:BP13))</x:f>
        <x:v>40</x:v>
      </x:c>
      <x:c r="AI13" s="62" t="n">
        <x:f>IF(COUNT(AL13:BP13)=0,"",COUNTIF(AL13:BP13,"&gt;0"))</x:f>
        <x:v>5</x:v>
      </x:c>
      <x:c r="AJ13" s="50" t="str">
        <x:f>IF(COUNT(AL13:BP13)=0,"待匯入",IF(COUNT(AL13:BP13)=COUNT(C$5:AG$5),"完整","部分匯入"))</x:f>
        <x:v>部分匯入</x:v>
      </x:c>
      <x:c r="AL13" s="89" t="n">
        <x:v>0</x:v>
      </x:c>
      <x:c r="AM13" s="89" t="n">
        <x:v>0</x:v>
      </x:c>
      <x:c r="AN13" s="89" t="n">
        <x:v>8</x:v>
      </x:c>
      <x:c r="AO13" s="89" t="n">
        <x:v>8</x:v>
      </x:c>
      <x:c r="AP13" s="89" t="n">
        <x:v>0</x:v>
      </x:c>
      <x:c r="AQ13" s="89" t="n">
        <x:v>0</x:v>
      </x:c>
      <x:c r="AR13" s="89" t="n">
        <x:v>0</x:v>
      </x:c>
      <x:c r="AS13" s="89" t="n">
        <x:v>0</x:v>
      </x:c>
      <x:c r="AT13" s="89" t="n">
        <x:v>8</x:v>
      </x:c>
      <x:c r="AU13" s="89" t="n">
        <x:v>8</x:v>
      </x:c>
      <x:c r="AV13" s="89" t="n">
        <x:v>8</x:v>
      </x:c>
      <x:c r="AW13" s="89"/>
      <x:c r="AX13" s="89"/>
      <x:c r="AY13" s="89"/>
      <x:c r="AZ13" s="89"/>
      <x:c r="BA13" s="89"/>
      <x:c r="BB13" s="89"/>
      <x:c r="BC13" s="89"/>
      <x:c r="BD13" s="89"/>
      <x:c r="BE13" s="89"/>
      <x:c r="BF13" s="89"/>
      <x:c r="BG13" s="89"/>
      <x:c r="BH13" s="89"/>
      <x:c r="BI13" s="89"/>
      <x:c r="BJ13" s="89"/>
      <x:c r="BK13" s="89"/>
      <x:c r="BL13" s="89"/>
      <x:c r="BM13" s="89"/>
      <x:c r="BN13" s="89"/>
      <x:c r="BO13" s="89"/>
      <x:c r="BP13" s="89"/>
    </x:row>
    <x:row r="14" ht="23" customHeight="1">
      <x:c r="A14" s="59" t="str">
        <x:v>工讀</x:v>
      </x:c>
      <x:c r="B14" s="59" t="str">
        <x:v>P07</x:v>
      </x:c>
      <x:c r="C14" s="87" t="n">
        <x:v>0</x:v>
      </x:c>
      <x:c r="D14" s="87" t="n">
        <x:v>0</x:v>
      </x:c>
      <x:c r="E14" s="87" t="str">
        <x:v>11.5-21.5</x:v>
      </x:c>
      <x:c r="F14" s="87" t="str">
        <x:v>17-22</x:v>
      </x:c>
      <x:c r="G14" s="87" t="n">
        <x:v>0</x:v>
      </x:c>
      <x:c r="H14" s="87" t="n">
        <x:v>0</x:v>
      </x:c>
      <x:c r="I14" s="87" t="n">
        <x:v>0</x:v>
      </x:c>
      <x:c r="J14" s="87" t="str">
        <x:v>18-21.5</x:v>
      </x:c>
      <x:c r="K14" s="87" t="str">
        <x:v>11-21</x:v>
      </x:c>
      <x:c r="L14" s="110" t="str">
        <x:v>11-21</x:v>
      </x:c>
      <x:c r="M14" s="87" t="str">
        <x:v>11.5-21.5</x:v>
      </x:c>
      <x:c r="N14" s="87"/>
      <x:c r="O14" s="87"/>
      <x:c r="P14" s="87"/>
      <x:c r="Q14" s="87"/>
      <x:c r="R14" s="87"/>
      <x:c r="S14" s="87"/>
      <x:c r="T14" s="87"/>
      <x:c r="U14" s="87"/>
      <x:c r="V14" s="87"/>
      <x:c r="W14" s="87"/>
      <x:c r="X14" s="87"/>
      <x:c r="Y14" s="87"/>
      <x:c r="Z14" s="87"/>
      <x:c r="AA14" s="87"/>
      <x:c r="AB14" s="87"/>
      <x:c r="AC14" s="87"/>
      <x:c r="AD14" s="87"/>
      <x:c r="AE14" s="87"/>
      <x:c r="AF14" s="87"/>
      <x:c r="AG14" s="88"/>
      <x:c r="AH14" s="61" t="n">
        <x:f>IF(COUNT(AL14:BP14)=0,"",SUM(AL14:BP14))</x:f>
        <x:v>40</x:v>
      </x:c>
      <x:c r="AI14" s="62" t="n">
        <x:f>IF(COUNT(AL14:BP14)=0,"",COUNTIF(AL14:BP14,"&gt;0"))</x:f>
        <x:v>6</x:v>
      </x:c>
      <x:c r="AJ14" s="50" t="str">
        <x:f>IF(COUNT(AL14:BP14)=0,"待匯入",IF(COUNT(AL14:BP14)=COUNT(C$5:AG$5),"完整","部分匯入"))</x:f>
        <x:v>部分匯入</x:v>
      </x:c>
      <x:c r="AL14" s="89" t="n">
        <x:v>0</x:v>
      </x:c>
      <x:c r="AM14" s="89" t="n">
        <x:v>0</x:v>
      </x:c>
      <x:c r="AN14" s="89" t="n">
        <x:v>8</x:v>
      </x:c>
      <x:c r="AO14" s="89" t="n">
        <x:v>4.5</x:v>
      </x:c>
      <x:c r="AP14" s="89" t="n">
        <x:v>0</x:v>
      </x:c>
      <x:c r="AQ14" s="89" t="n">
        <x:v>0</x:v>
      </x:c>
      <x:c r="AR14" s="89" t="n">
        <x:v>0</x:v>
      </x:c>
      <x:c r="AS14" s="89" t="n">
        <x:v>3.5</x:v>
      </x:c>
      <x:c r="AT14" s="89" t="n">
        <x:v>8</x:v>
      </x:c>
      <x:c r="AU14" s="89" t="n">
        <x:v>8</x:v>
      </x:c>
      <x:c r="AV14" s="89" t="n">
        <x:v>8</x:v>
      </x:c>
      <x:c r="AW14" s="89"/>
      <x:c r="AX14" s="89"/>
      <x:c r="AY14" s="89"/>
      <x:c r="AZ14" s="89"/>
      <x:c r="BA14" s="89"/>
      <x:c r="BB14" s="89"/>
      <x:c r="BC14" s="89"/>
      <x:c r="BD14" s="89"/>
      <x:c r="BE14" s="89"/>
      <x:c r="BF14" s="89"/>
      <x:c r="BG14" s="89"/>
      <x:c r="BH14" s="89"/>
      <x:c r="BI14" s="89"/>
      <x:c r="BJ14" s="89"/>
      <x:c r="BK14" s="89"/>
      <x:c r="BL14" s="89"/>
      <x:c r="BM14" s="89"/>
      <x:c r="BN14" s="89"/>
      <x:c r="BO14" s="89"/>
      <x:c r="BP14" s="89"/>
    </x:row>
    <x:row r="15" ht="23" customHeight="1">
      <x:c r="A15" s="59" t="str">
        <x:v>工讀</x:v>
      </x:c>
      <x:c r="B15" s="59" t="str">
        <x:v>P08</x:v>
      </x:c>
      <x:c r="C15" s="87" t="str">
        <x:v>18-22</x:v>
      </x:c>
      <x:c r="D15" s="87" t="n">
        <x:v>0</x:v>
      </x:c>
      <x:c r="E15" s="87" t="str">
        <x:v>12-22</x:v>
      </x:c>
      <x:c r="F15" s="87" t="str">
        <x:v>12-18</x:v>
      </x:c>
      <x:c r="G15" s="87" t="n">
        <x:v>0</x:v>
      </x:c>
      <x:c r="H15" s="87" t="n">
        <x:v>0</x:v>
      </x:c>
      <x:c r="I15" s="87" t="str">
        <x:v>18-21.5</x:v>
      </x:c>
      <x:c r="J15" s="87" t="str">
        <x:v>18-21.5</x:v>
      </x:c>
      <x:c r="K15" s="87" t="n">
        <x:v>0</x:v>
      </x:c>
      <x:c r="L15" s="110" t="str">
        <x:v>11.5-21.5</x:v>
      </x:c>
      <x:c r="M15" s="87" t="n">
        <x:v>0</x:v>
      </x:c>
      <x:c r="N15" s="87"/>
      <x:c r="O15" s="87"/>
      <x:c r="P15" s="87"/>
      <x:c r="Q15" s="87"/>
      <x:c r="R15" s="87"/>
      <x:c r="S15" s="87"/>
      <x:c r="T15" s="87"/>
      <x:c r="U15" s="87"/>
      <x:c r="V15" s="87"/>
      <x:c r="W15" s="87"/>
      <x:c r="X15" s="87"/>
      <x:c r="Y15" s="87"/>
      <x:c r="Z15" s="87"/>
      <x:c r="AA15" s="87"/>
      <x:c r="AB15" s="87"/>
      <x:c r="AC15" s="87"/>
      <x:c r="AD15" s="87"/>
      <x:c r="AE15" s="87"/>
      <x:c r="AF15" s="87"/>
      <x:c r="AG15" s="88"/>
      <x:c r="AH15" s="61" t="n">
        <x:f>IF(COUNT(AL15:BP15)=0,"",SUM(AL15:BP15))</x:f>
        <x:v>32.5</x:v>
      </x:c>
      <x:c r="AI15" s="62" t="n">
        <x:f>IF(COUNT(AL15:BP15)=0,"",COUNTIF(AL15:BP15,"&gt;0"))</x:f>
        <x:v>6</x:v>
      </x:c>
      <x:c r="AJ15" s="50" t="str">
        <x:f>IF(COUNT(AL15:BP15)=0,"待匯入",IF(COUNT(AL15:BP15)=COUNT(C$5:AG$5),"完整","部分匯入"))</x:f>
        <x:v>部分匯入</x:v>
      </x:c>
      <x:c r="AL15" s="89" t="n">
        <x:v>4</x:v>
      </x:c>
      <x:c r="AM15" s="89" t="n">
        <x:v>0</x:v>
      </x:c>
      <x:c r="AN15" s="89" t="n">
        <x:v>8</x:v>
      </x:c>
      <x:c r="AO15" s="89" t="n">
        <x:v>5.5</x:v>
      </x:c>
      <x:c r="AP15" s="89" t="n">
        <x:v>0</x:v>
      </x:c>
      <x:c r="AQ15" s="89" t="n">
        <x:v>0</x:v>
      </x:c>
      <x:c r="AR15" s="89" t="n">
        <x:v>3.5</x:v>
      </x:c>
      <x:c r="AS15" s="89" t="n">
        <x:v>3.5</x:v>
      </x:c>
      <x:c r="AT15" s="89" t="n">
        <x:v>0</x:v>
      </x:c>
      <x:c r="AU15" s="89" t="n">
        <x:v>8</x:v>
      </x:c>
      <x:c r="AV15" s="89" t="n">
        <x:v>0</x:v>
      </x:c>
      <x:c r="AW15" s="89"/>
      <x:c r="AX15" s="89"/>
      <x:c r="AY15" s="89"/>
      <x:c r="AZ15" s="89"/>
      <x:c r="BA15" s="89"/>
      <x:c r="BB15" s="89"/>
      <x:c r="BC15" s="89"/>
      <x:c r="BD15" s="89"/>
      <x:c r="BE15" s="89"/>
      <x:c r="BF15" s="89"/>
      <x:c r="BG15" s="89"/>
      <x:c r="BH15" s="89"/>
      <x:c r="BI15" s="89"/>
      <x:c r="BJ15" s="89"/>
      <x:c r="BK15" s="89"/>
      <x:c r="BL15" s="89"/>
      <x:c r="BM15" s="89"/>
      <x:c r="BN15" s="89"/>
      <x:c r="BO15" s="89"/>
      <x:c r="BP15" s="89"/>
    </x:row>
    <x:row r="16" ht="23" customHeight="1">
      <x:c r="A16" s="59" t="str">
        <x:v>工讀</x:v>
      </x:c>
      <x:c r="B16" s="59" t="str">
        <x:v>P09</x:v>
      </x:c>
      <x:c r="C16" s="87" t="str">
        <x:v>11.5-21.5</x:v>
      </x:c>
      <x:c r="D16" s="87" t="str">
        <x:v>10-20</x:v>
      </x:c>
      <x:c r="E16" s="87" t="n">
        <x:v>0</x:v>
      </x:c>
      <x:c r="F16" s="87" t="n">
        <x:v>0</x:v>
      </x:c>
      <x:c r="G16" s="87" t="str">
        <x:v>17-21.5</x:v>
      </x:c>
      <x:c r="H16" s="87" t="str">
        <x:v>17-21.5</x:v>
      </x:c>
      <x:c r="I16" s="87" t="n">
        <x:v>0</x:v>
      </x:c>
      <x:c r="J16" s="87" t="str">
        <x:v>11.5-21.5</x:v>
      </x:c>
      <x:c r="K16" s="87" t="str">
        <x:v>11.5-21.5</x:v>
      </x:c>
      <x:c r="L16" s="110" t="n">
        <x:v>0</x:v>
      </x:c>
      <x:c r="M16" s="87" t="n">
        <x:v>0</x:v>
      </x:c>
      <x:c r="N16" s="87"/>
      <x:c r="O16" s="87"/>
      <x:c r="P16" s="87"/>
      <x:c r="Q16" s="87"/>
      <x:c r="R16" s="87"/>
      <x:c r="S16" s="87"/>
      <x:c r="T16" s="87"/>
      <x:c r="U16" s="87"/>
      <x:c r="V16" s="87"/>
      <x:c r="W16" s="87"/>
      <x:c r="X16" s="87"/>
      <x:c r="Y16" s="87"/>
      <x:c r="Z16" s="87"/>
      <x:c r="AA16" s="87"/>
      <x:c r="AB16" s="87"/>
      <x:c r="AC16" s="87"/>
      <x:c r="AD16" s="87"/>
      <x:c r="AE16" s="87"/>
      <x:c r="AF16" s="87"/>
      <x:c r="AG16" s="88"/>
      <x:c r="AH16" s="61" t="n">
        <x:f>IF(COUNT(AL16:BP16)=0,"",SUM(AL16:BP16))</x:f>
        <x:v>40</x:v>
      </x:c>
      <x:c r="AI16" s="62" t="n">
        <x:f>IF(COUNT(AL16:BP16)=0,"",COUNTIF(AL16:BP16,"&gt;0"))</x:f>
        <x:v>6</x:v>
      </x:c>
      <x:c r="AJ16" s="50" t="str">
        <x:f>IF(COUNT(AL16:BP16)=0,"待匯入",IF(COUNT(AL16:BP16)=COUNT(C$5:AG$5),"完整","部分匯入"))</x:f>
        <x:v>部分匯入</x:v>
      </x:c>
      <x:c r="AL16" s="89" t="n">
        <x:v>8</x:v>
      </x:c>
      <x:c r="AM16" s="89" t="n">
        <x:v>8</x:v>
      </x:c>
      <x:c r="AN16" s="89" t="n">
        <x:v>0</x:v>
      </x:c>
      <x:c r="AO16" s="89" t="n">
        <x:v>0</x:v>
      </x:c>
      <x:c r="AP16" s="89" t="n">
        <x:v>4</x:v>
      </x:c>
      <x:c r="AQ16" s="89" t="n">
        <x:v>4</x:v>
      </x:c>
      <x:c r="AR16" s="89" t="n">
        <x:v>0</x:v>
      </x:c>
      <x:c r="AS16" s="89" t="n">
        <x:v>8</x:v>
      </x:c>
      <x:c r="AT16" s="89" t="n">
        <x:v>8</x:v>
      </x:c>
      <x:c r="AU16" s="89" t="n">
        <x:v>0</x:v>
      </x:c>
      <x:c r="AV16" s="89" t="n">
        <x:v>0</x:v>
      </x:c>
      <x:c r="AW16" s="89"/>
      <x:c r="AX16" s="89"/>
      <x:c r="AY16" s="89"/>
      <x:c r="AZ16" s="89"/>
      <x:c r="BA16" s="89"/>
      <x:c r="BB16" s="89"/>
      <x:c r="BC16" s="89"/>
      <x:c r="BD16" s="89"/>
      <x:c r="BE16" s="89"/>
      <x:c r="BF16" s="89"/>
      <x:c r="BG16" s="89"/>
      <x:c r="BH16" s="89"/>
      <x:c r="BI16" s="89"/>
      <x:c r="BJ16" s="89"/>
      <x:c r="BK16" s="89"/>
      <x:c r="BL16" s="89"/>
      <x:c r="BM16" s="89"/>
      <x:c r="BN16" s="89"/>
      <x:c r="BO16" s="89"/>
      <x:c r="BP16" s="89"/>
    </x:row>
    <x:row r="17" ht="23" customHeight="1">
      <x:c r="A17" s="59" t="str">
        <x:v>工讀</x:v>
      </x:c>
      <x:c r="B17" s="59" t="str">
        <x:v>P10</x:v>
      </x:c>
      <x:c r="C17" s="87" t="str">
        <x:v>10-15.5</x:v>
      </x:c>
      <x:c r="D17" s="87" t="n">
        <x:v>0</x:v>
      </x:c>
      <x:c r="E17" s="87" t="n">
        <x:v>0</x:v>
      </x:c>
      <x:c r="F17" s="87" t="str">
        <x:v>10-15.5</x:v>
      </x:c>
      <x:c r="G17" s="87" t="str">
        <x:v>10-15.5</x:v>
      </x:c>
      <x:c r="H17" s="87" t="str">
        <x:v>10-15.5</x:v>
      </x:c>
      <x:c r="I17" s="87" t="n">
        <x:v>0</x:v>
      </x:c>
      <x:c r="J17" s="87" t="str">
        <x:v>10-15.5</x:v>
      </x:c>
      <x:c r="K17" s="87" t="str">
        <x:v>10-15.5</x:v>
      </x:c>
      <x:c r="L17" s="110" t="str">
        <x:v>10-15.5</x:v>
      </x:c>
      <x:c r="M17" s="87" t="n">
        <x:v>0</x:v>
      </x:c>
      <x:c r="N17" s="87"/>
      <x:c r="O17" s="87"/>
      <x:c r="P17" s="87"/>
      <x:c r="Q17" s="87"/>
      <x:c r="R17" s="87"/>
      <x:c r="S17" s="87"/>
      <x:c r="T17" s="87"/>
      <x:c r="U17" s="87"/>
      <x:c r="V17" s="87"/>
      <x:c r="W17" s="87"/>
      <x:c r="X17" s="87"/>
      <x:c r="Y17" s="87"/>
      <x:c r="Z17" s="87"/>
      <x:c r="AA17" s="87"/>
      <x:c r="AB17" s="87"/>
      <x:c r="AC17" s="87"/>
      <x:c r="AD17" s="87"/>
      <x:c r="AE17" s="87"/>
      <x:c r="AF17" s="87"/>
      <x:c r="AG17" s="88"/>
      <x:c r="AH17" s="61" t="n">
        <x:f>IF(COUNT(AL17:BP17)=0,"",SUM(AL17:BP17))</x:f>
        <x:v>35</x:v>
      </x:c>
      <x:c r="AI17" s="62" t="n">
        <x:f>IF(COUNT(AL17:BP17)=0,"",COUNTIF(AL17:BP17,"&gt;0"))</x:f>
        <x:v>7</x:v>
      </x:c>
      <x:c r="AJ17" s="50" t="str">
        <x:f>IF(COUNT(AL17:BP17)=0,"待匯入",IF(COUNT(AL17:BP17)=COUNT(C$5:AG$5),"完整","部分匯入"))</x:f>
        <x:v>部分匯入</x:v>
      </x:c>
      <x:c r="AL17" s="89" t="n">
        <x:v>5</x:v>
      </x:c>
      <x:c r="AM17" s="89" t="n">
        <x:v>0</x:v>
      </x:c>
      <x:c r="AN17" s="89" t="n">
        <x:v>0</x:v>
      </x:c>
      <x:c r="AO17" s="89" t="n">
        <x:v>5</x:v>
      </x:c>
      <x:c r="AP17" s="89" t="n">
        <x:v>5</x:v>
      </x:c>
      <x:c r="AQ17" s="89" t="n">
        <x:v>5</x:v>
      </x:c>
      <x:c r="AR17" s="89" t="n">
        <x:v>0</x:v>
      </x:c>
      <x:c r="AS17" s="89" t="n">
        <x:v>5</x:v>
      </x:c>
      <x:c r="AT17" s="89" t="n">
        <x:v>5</x:v>
      </x:c>
      <x:c r="AU17" s="89" t="n">
        <x:v>5</x:v>
      </x:c>
      <x:c r="AV17" s="89" t="n">
        <x:v>0</x:v>
      </x:c>
      <x:c r="AW17" s="89"/>
      <x:c r="AX17" s="89"/>
      <x:c r="AY17" s="89"/>
      <x:c r="AZ17" s="89"/>
      <x:c r="BA17" s="89"/>
      <x:c r="BB17" s="89"/>
      <x:c r="BC17" s="89"/>
      <x:c r="BD17" s="89"/>
      <x:c r="BE17" s="89"/>
      <x:c r="BF17" s="89"/>
      <x:c r="BG17" s="89"/>
      <x:c r="BH17" s="89"/>
      <x:c r="BI17" s="89"/>
      <x:c r="BJ17" s="89"/>
      <x:c r="BK17" s="89"/>
      <x:c r="BL17" s="89"/>
      <x:c r="BM17" s="89"/>
      <x:c r="BN17" s="89"/>
      <x:c r="BO17" s="89"/>
      <x:c r="BP17" s="89"/>
    </x:row>
    <x:row r="18" ht="23" customHeight="1">
      <x:c r="A18" s="59" t="str">
        <x:v>工讀</x:v>
      </x:c>
      <x:c r="B18" s="59" t="str">
        <x:v>P11</x:v>
      </x:c>
      <x:c r="C18" s="87" t="n">
        <x:v>0</x:v>
      </x:c>
      <x:c r="D18" s="87" t="str">
        <x:v>17-21.5</x:v>
      </x:c>
      <x:c r="E18" s="87" t="str">
        <x:v>11.5-21.5</x:v>
      </x:c>
      <x:c r="F18" s="87" t="n">
        <x:v>0</x:v>
      </x:c>
      <x:c r="G18" s="87" t="str">
        <x:v>11-21</x:v>
      </x:c>
      <x:c r="H18" s="87" t="n">
        <x:v>0</x:v>
      </x:c>
      <x:c r="I18" s="87" t="str">
        <x:v>12-21.5</x:v>
      </x:c>
      <x:c r="J18" s="87" t="n">
        <x:v>0</x:v>
      </x:c>
      <x:c r="K18" s="87" t="str">
        <x:v>12-22</x:v>
      </x:c>
      <x:c r="L18" s="110" t="n">
        <x:v>0</x:v>
      </x:c>
      <x:c r="M18" s="87" t="str">
        <x:v>12-22</x:v>
      </x:c>
      <x:c r="N18" s="87"/>
      <x:c r="O18" s="87"/>
      <x:c r="P18" s="87"/>
      <x:c r="Q18" s="87"/>
      <x:c r="R18" s="87"/>
      <x:c r="S18" s="87"/>
      <x:c r="T18" s="87"/>
      <x:c r="U18" s="87"/>
      <x:c r="V18" s="87"/>
      <x:c r="W18" s="87"/>
      <x:c r="X18" s="87"/>
      <x:c r="Y18" s="87"/>
      <x:c r="Z18" s="87"/>
      <x:c r="AA18" s="87"/>
      <x:c r="AB18" s="87"/>
      <x:c r="AC18" s="87"/>
      <x:c r="AD18" s="87"/>
      <x:c r="AE18" s="87"/>
      <x:c r="AF18" s="87"/>
      <x:c r="AG18" s="88"/>
      <x:c r="AH18" s="61" t="n">
        <x:f>IF(COUNT(AL18:BP18)=0,"",SUM(AL18:BP18))</x:f>
        <x:v>43.5</x:v>
      </x:c>
      <x:c r="AI18" s="62" t="n">
        <x:f>IF(COUNT(AL18:BP18)=0,"",COUNTIF(AL18:BP18,"&gt;0"))</x:f>
        <x:v>6</x:v>
      </x:c>
      <x:c r="AJ18" s="50" t="str">
        <x:f>IF(COUNT(AL18:BP18)=0,"待匯入",IF(COUNT(AL18:BP18)=COUNT(C$5:AG$5),"完整","部分匯入"))</x:f>
        <x:v>部分匯入</x:v>
      </x:c>
      <x:c r="AL18" s="89" t="n">
        <x:v>0</x:v>
      </x:c>
      <x:c r="AM18" s="89" t="n">
        <x:v>4</x:v>
      </x:c>
      <x:c r="AN18" s="89" t="n">
        <x:v>8</x:v>
      </x:c>
      <x:c r="AO18" s="89" t="n">
        <x:v>0</x:v>
      </x:c>
      <x:c r="AP18" s="89" t="n">
        <x:v>8</x:v>
      </x:c>
      <x:c r="AQ18" s="89" t="n">
        <x:v>0</x:v>
      </x:c>
      <x:c r="AR18" s="89" t="n">
        <x:v>7.5</x:v>
      </x:c>
      <x:c r="AS18" s="89" t="n">
        <x:v>0</x:v>
      </x:c>
      <x:c r="AT18" s="89" t="n">
        <x:v>8</x:v>
      </x:c>
      <x:c r="AU18" s="89" t="n">
        <x:v>0</x:v>
      </x:c>
      <x:c r="AV18" s="89" t="n">
        <x:v>8</x:v>
      </x:c>
      <x:c r="AW18" s="89"/>
      <x:c r="AX18" s="89"/>
      <x:c r="AY18" s="89"/>
      <x:c r="AZ18" s="89"/>
      <x:c r="BA18" s="89"/>
      <x:c r="BB18" s="89"/>
      <x:c r="BC18" s="89"/>
      <x:c r="BD18" s="89"/>
      <x:c r="BE18" s="89"/>
      <x:c r="BF18" s="89"/>
      <x:c r="BG18" s="89"/>
      <x:c r="BH18" s="89"/>
      <x:c r="BI18" s="89"/>
      <x:c r="BJ18" s="89"/>
      <x:c r="BK18" s="89"/>
      <x:c r="BL18" s="89"/>
      <x:c r="BM18" s="89"/>
      <x:c r="BN18" s="89"/>
      <x:c r="BO18" s="89"/>
      <x:c r="BP18" s="89"/>
    </x:row>
    <x:row r="19" ht="23" customHeight="1">
      <x:c r="A19" s="59" t="str">
        <x:v>新人</x:v>
      </x:c>
      <x:c r="B19" s="59" t="str">
        <x:v>P12</x:v>
      </x:c>
      <x:c r="C19" s="111" t="n">
        <x:v>0</x:v>
      </x:c>
      <x:c r="D19" s="111" t="n">
        <x:v>0</x:v>
      </x:c>
      <x:c r="E19" s="111" t="str">
        <x:v>17-21</x:v>
      </x:c>
      <x:c r="F19" s="111" t="str">
        <x:v>17-21</x:v>
      </x:c>
      <x:c r="G19" s="111" t="n">
        <x:v>0</x:v>
      </x:c>
      <x:c r="H19" s="111" t="str">
        <x:v>11-21</x:v>
      </x:c>
      <x:c r="I19" s="111" t="str">
        <x:v>11-18</x:v>
      </x:c>
      <x:c r="J19" s="111" t="str">
        <x:v>17-21</x:v>
      </x:c>
      <x:c r="K19" s="111" t="n">
        <x:v>0</x:v>
      </x:c>
      <x:c r="L19" s="111" t="n">
        <x:v>0</x:v>
      </x:c>
      <x:c r="M19" s="111" t="str">
        <x:v>11-21</x:v>
      </x:c>
      <x:c r="N19" s="111"/>
      <x:c r="O19" s="111"/>
      <x:c r="P19" s="111"/>
      <x:c r="Q19" s="111"/>
      <x:c r="R19" s="111"/>
      <x:c r="S19" s="111"/>
      <x:c r="T19" s="111"/>
      <x:c r="U19" s="111"/>
      <x:c r="V19" s="111"/>
      <x:c r="W19" s="111"/>
      <x:c r="X19" s="111"/>
      <x:c r="Y19" s="111"/>
      <x:c r="Z19" s="111"/>
      <x:c r="AA19" s="111"/>
      <x:c r="AB19" s="111"/>
      <x:c r="AC19" s="111"/>
      <x:c r="AD19" s="111"/>
      <x:c r="AE19" s="111"/>
      <x:c r="AF19" s="111"/>
      <x:c r="AG19" s="111"/>
      <x:c r="AH19" s="61" t="n">
        <x:f>IF(COUNT(AL19:BP19)=0,"",SUM(AL19:BP19))</x:f>
        <x:v>33</x:v>
      </x:c>
      <x:c r="AI19" s="62" t="n">
        <x:f>IF(COUNT(AL19:BP19)=0,"",COUNTIF(AL19:BP19,"&gt;0"))</x:f>
        <x:v>6</x:v>
      </x:c>
      <x:c r="AJ19" s="50" t="str">
        <x:f>IF(COUNT(AL19:BP19)=0,"待匯入",IF(COUNT(AL19:BP19)=COUNT(C$5:AG$5),"完整","部分匯入"))</x:f>
        <x:v>部分匯入</x:v>
      </x:c>
      <x:c r="AL19" t="n">
        <x:v>0</x:v>
      </x:c>
      <x:c r="AM19" t="n">
        <x:v>0</x:v>
      </x:c>
      <x:c r="AN19" t="n">
        <x:v>4</x:v>
      </x:c>
      <x:c r="AO19" t="n">
        <x:v>4</x:v>
      </x:c>
      <x:c r="AP19" t="n">
        <x:v>0</x:v>
      </x:c>
      <x:c r="AQ19" t="n">
        <x:v>8</x:v>
      </x:c>
      <x:c r="AR19" t="n">
        <x:v>5</x:v>
      </x:c>
      <x:c r="AS19" t="n">
        <x:v>4</x:v>
      </x:c>
      <x:c r="AT19" t="n">
        <x:v>0</x:v>
      </x:c>
      <x:c r="AU19" t="n">
        <x:v>0</x:v>
      </x:c>
      <x:c r="AV19" t="n">
        <x:v>8</x:v>
      </x:c>
    </x:row>
    <x:row r="20" ht="23" customHeight="1">
      <x:c r="A20" s="64" t="str">
        <x:v>全店每日工時</x:v>
      </x:c>
      <x:c r="B20" s="64"/>
      <x:c r="C20" s="71" t="n">
        <x:f>IF(COUNT(AL8:AL19)=0,"",SUM(AL8:AL19))</x:f>
        <x:v>45</x:v>
      </x:c>
      <x:c r="D20" s="71" t="n">
        <x:f>IF(COUNT(AM8:AM19)=0,"",SUM(AM8:AM19))</x:f>
        <x:v>40</x:v>
      </x:c>
      <x:c r="E20" s="71" t="n">
        <x:f>IF(COUNT(AN8:AN19)=0,"",SUM(AN8:AN19))</x:f>
        <x:v>60</x:v>
      </x:c>
      <x:c r="F20" s="71" t="n">
        <x:f>IF(COUNT(AO8:AO19)=0,"",SUM(AO8:AO19))</x:f>
        <x:v>59</x:v>
      </x:c>
      <x:c r="G20" s="71" t="n">
        <x:f>IF(COUNT(AP8:AP19)=0,"",SUM(AP8:AP19))</x:f>
        <x:v>37</x:v>
      </x:c>
      <x:c r="H20" s="71" t="n">
        <x:f>IF(COUNT(AQ8:AQ19)=0,"",SUM(AQ8:AQ19))</x:f>
        <x:v>45</x:v>
      </x:c>
      <x:c r="I20" s="71" t="n">
        <x:f>IF(COUNT(AR8:AR19)=0,"",SUM(AR8:AR19))</x:f>
        <x:v>40</x:v>
      </x:c>
      <x:c r="J20" s="71" t="n">
        <x:f>IF(COUNT(AS8:AS19)=0,"",SUM(AS8:AS19))</x:f>
        <x:v>41.5</x:v>
      </x:c>
      <x:c r="K20" s="71" t="n">
        <x:f>IF(COUNT(AT8:AT19)=0,"",SUM(AT8:AT19))</x:f>
        <x:v>57</x:v>
      </x:c>
      <x:c r="L20" s="71" t="n">
        <x:f>IF(COUNT(AU8:AU19)=0,"",SUM(AU8:AU19))</x:f>
        <x:v>57.5</x:v>
      </x:c>
      <x:c r="M20" s="71" t="n">
        <x:f>IF(COUNT(AV8:AV19)=0,"",SUM(AV8:AV19))</x:f>
        <x:v>64</x:v>
      </x:c>
      <x:c r="N20" s="71" t="str">
        <x:f>IF(COUNT(AW8:AW19)=0,"",SUM(AW8:AW19))</x:f>
      </x:c>
      <x:c r="O20" s="71" t="str">
        <x:f>IF(COUNT(AX8:AX19)=0,"",SUM(AX8:AX19))</x:f>
      </x:c>
      <x:c r="P20" s="71" t="str">
        <x:f>IF(COUNT(AY8:AY19)=0,"",SUM(AY8:AY19))</x:f>
      </x:c>
      <x:c r="Q20" s="71" t="str">
        <x:f>IF(COUNT(AZ8:AZ19)=0,"",SUM(AZ8:AZ19))</x:f>
      </x:c>
      <x:c r="R20" s="71" t="str">
        <x:f>IF(COUNT(BA8:BA19)=0,"",SUM(BA8:BA19))</x:f>
      </x:c>
      <x:c r="S20" s="71" t="str">
        <x:f>IF(COUNT(BB8:BB19)=0,"",SUM(BB8:BB19))</x:f>
      </x:c>
      <x:c r="T20" s="71" t="str">
        <x:f>IF(COUNT(BC8:BC19)=0,"",SUM(BC8:BC19))</x:f>
      </x:c>
      <x:c r="U20" s="71" t="str">
        <x:f>IF(COUNT(BD8:BD19)=0,"",SUM(BD8:BD19))</x:f>
      </x:c>
      <x:c r="V20" s="71" t="str">
        <x:f>IF(COUNT(BE8:BE19)=0,"",SUM(BE8:BE19))</x:f>
      </x:c>
      <x:c r="W20" s="71" t="str">
        <x:f>IF(COUNT(BF8:BF19)=0,"",SUM(BF8:BF19))</x:f>
      </x:c>
      <x:c r="X20" s="71" t="str">
        <x:f>IF(COUNT(BG8:BG19)=0,"",SUM(BG8:BG19))</x:f>
      </x:c>
      <x:c r="Y20" s="71" t="str">
        <x:f>IF(COUNT(BH8:BH19)=0,"",SUM(BH8:BH19))</x:f>
      </x:c>
      <x:c r="Z20" s="71" t="str">
        <x:f>IF(COUNT(BI8:BI19)=0,"",SUM(BI8:BI19))</x:f>
      </x:c>
      <x:c r="AA20" s="71" t="str">
        <x:f>IF(COUNT(BJ8:BJ19)=0,"",SUM(BJ8:BJ19))</x:f>
      </x:c>
      <x:c r="AB20" s="71" t="str">
        <x:f>IF(COUNT(BK8:BK19)=0,"",SUM(BK8:BK19))</x:f>
      </x:c>
      <x:c r="AC20" s="71" t="str">
        <x:f>IF(COUNT(BL8:BL19)=0,"",SUM(BL8:BL19))</x:f>
      </x:c>
      <x:c r="AD20" s="71" t="str">
        <x:f>IF(COUNT(BM8:BM19)=0,"",SUM(BM8:BM19))</x:f>
      </x:c>
      <x:c r="AE20" s="71" t="str">
        <x:f>IF(COUNT(BN8:BN19)=0,"",SUM(BN8:BN19))</x:f>
      </x:c>
      <x:c r="AF20" s="71" t="str">
        <x:f>IF(COUNT(BO8:BO19)=0,"",SUM(BO8:BO19))</x:f>
      </x:c>
      <x:c r="AG20" s="85" t="str">
        <x:f>IF(COUNT(BP8:BP19)=0,"",SUM(BP8:BP19))</x:f>
      </x:c>
      <x:c r="AH20" s="65" t="n">
        <x:f>IF(COUNT(AL8:BP19)=0,"",SUM(AH8:AH19))</x:f>
        <x:v>546</x:v>
      </x:c>
      <x:c r="AI20" s="64"/>
      <x:c r="AJ20" s="64" t="str">
        <x:f>IF(COUNT(AL8:BP19)=0,"待匯入",IF(COUNT(AL8:BP19)=COUNT(C5:AG5)*ROWS(C8:C19),"完整","部分匯入"))</x:f>
        <x:v>部分匯入</x:v>
      </x:c>
    </x:row>
    <x:row r="21" ht="23" customHeight="1">
      <x:c r="A21" s="64" t="str">
        <x:v>每日排班人數</x:v>
      </x:c>
      <x:c r="B21" s="64"/>
      <x:c r="C21" s="72" t="n">
        <x:f>IF(COUNT(AL8:AL19)=0,"",COUNTIF(AL8:AL19,"&gt;0"))</x:f>
        <x:v>7</x:v>
      </x:c>
      <x:c r="D21" s="72" t="n">
        <x:f>IF(COUNT(AM8:AM19)=0,"",COUNTIF(AM8:AM19,"&gt;0"))</x:f>
        <x:v>6</x:v>
      </x:c>
      <x:c r="E21" s="72" t="n">
        <x:f>IF(COUNT(AN8:AN19)=0,"",COUNTIF(AN8:AN19,"&gt;0"))</x:f>
        <x:v>8</x:v>
      </x:c>
      <x:c r="F21" s="72" t="n">
        <x:f>IF(COUNT(AO8:AO19)=0,"",COUNTIF(AO8:AO19,"&gt;0"))</x:f>
        <x:v>9</x:v>
      </x:c>
      <x:c r="G21" s="72" t="n">
        <x:f>IF(COUNT(AP8:AP19)=0,"",COUNTIF(AP8:AP19,"&gt;0"))</x:f>
        <x:v>6</x:v>
      </x:c>
      <x:c r="H21" s="72" t="n">
        <x:f>IF(COUNT(AQ8:AQ19)=0,"",COUNTIF(AQ8:AQ19,"&gt;0"))</x:f>
        <x:v>7</x:v>
      </x:c>
      <x:c r="I21" s="72" t="n">
        <x:f>IF(COUNT(AR8:AR19)=0,"",COUNTIF(AR8:AR19,"&gt;0"))</x:f>
        <x:v>6</x:v>
      </x:c>
      <x:c r="J21" s="72" t="n">
        <x:f>IF(COUNT(AS8:AS19)=0,"",COUNTIF(AS8:AS19,"&gt;0"))</x:f>
        <x:v>8</x:v>
      </x:c>
      <x:c r="K21" s="72" t="n">
        <x:f>IF(COUNT(AT8:AT19)=0,"",COUNTIF(AT8:AT19,"&gt;0"))</x:f>
        <x:v>8</x:v>
      </x:c>
      <x:c r="L21" s="72" t="n">
        <x:f>IF(COUNT(AU8:AU19)=0,"",COUNTIF(AU8:AU19,"&gt;0"))</x:f>
        <x:v>8</x:v>
      </x:c>
      <x:c r="M21" s="72" t="n">
        <x:f>IF(COUNT(AV8:AV19)=0,"",COUNTIF(AV8:AV19,"&gt;0"))</x:f>
        <x:v>8</x:v>
      </x:c>
      <x:c r="N21" s="72" t="str">
        <x:f>IF(COUNT(AW8:AW19)=0,"",COUNTIF(AW8:AW19,"&gt;0"))</x:f>
      </x:c>
      <x:c r="O21" s="72" t="str">
        <x:f>IF(COUNT(AX8:AX19)=0,"",COUNTIF(AX8:AX19,"&gt;0"))</x:f>
      </x:c>
      <x:c r="P21" s="72" t="str">
        <x:f>IF(COUNT(AY8:AY19)=0,"",COUNTIF(AY8:AY19,"&gt;0"))</x:f>
      </x:c>
      <x:c r="Q21" s="72" t="str">
        <x:f>IF(COUNT(AZ8:AZ19)=0,"",COUNTIF(AZ8:AZ19,"&gt;0"))</x:f>
      </x:c>
      <x:c r="R21" s="72" t="str">
        <x:f>IF(COUNT(BA8:BA19)=0,"",COUNTIF(BA8:BA19,"&gt;0"))</x:f>
      </x:c>
      <x:c r="S21" s="72" t="str">
        <x:f>IF(COUNT(BB8:BB19)=0,"",COUNTIF(BB8:BB19,"&gt;0"))</x:f>
      </x:c>
      <x:c r="T21" s="72" t="str">
        <x:f>IF(COUNT(BC8:BC19)=0,"",COUNTIF(BC8:BC19,"&gt;0"))</x:f>
      </x:c>
      <x:c r="U21" s="72" t="str">
        <x:f>IF(COUNT(BD8:BD19)=0,"",COUNTIF(BD8:BD19,"&gt;0"))</x:f>
      </x:c>
      <x:c r="V21" s="72" t="str">
        <x:f>IF(COUNT(BE8:BE19)=0,"",COUNTIF(BE8:BE19,"&gt;0"))</x:f>
      </x:c>
      <x:c r="W21" s="72" t="str">
        <x:f>IF(COUNT(BF8:BF19)=0,"",COUNTIF(BF8:BF19,"&gt;0"))</x:f>
      </x:c>
      <x:c r="X21" s="72" t="str">
        <x:f>IF(COUNT(BG8:BG19)=0,"",COUNTIF(BG8:BG19,"&gt;0"))</x:f>
      </x:c>
      <x:c r="Y21" s="72" t="str">
        <x:f>IF(COUNT(BH8:BH19)=0,"",COUNTIF(BH8:BH19,"&gt;0"))</x:f>
      </x:c>
      <x:c r="Z21" s="72" t="str">
        <x:f>IF(COUNT(BI8:BI19)=0,"",COUNTIF(BI8:BI19,"&gt;0"))</x:f>
      </x:c>
      <x:c r="AA21" s="72" t="str">
        <x:f>IF(COUNT(BJ8:BJ19)=0,"",COUNTIF(BJ8:BJ19,"&gt;0"))</x:f>
      </x:c>
      <x:c r="AB21" s="72" t="str">
        <x:f>IF(COUNT(BK8:BK19)=0,"",COUNTIF(BK8:BK19,"&gt;0"))</x:f>
      </x:c>
      <x:c r="AC21" s="72" t="str">
        <x:f>IF(COUNT(BL8:BL19)=0,"",COUNTIF(BL8:BL19,"&gt;0"))</x:f>
      </x:c>
      <x:c r="AD21" s="72" t="str">
        <x:f>IF(COUNT(BM8:BM19)=0,"",COUNTIF(BM8:BM19,"&gt;0"))</x:f>
      </x:c>
      <x:c r="AE21" s="72" t="str">
        <x:f>IF(COUNT(BN8:BN19)=0,"",COUNTIF(BN8:BN19,"&gt;0"))</x:f>
      </x:c>
      <x:c r="AF21" s="72" t="str">
        <x:f>IF(COUNT(BO8:BO19)=0,"",COUNTIF(BO8:BO19,"&gt;0"))</x:f>
      </x:c>
      <x:c r="AG21" s="86" t="str">
        <x:f>IF(COUNT(BP8:BP19)=0,"",COUNTIF(BP8:BP19,"&gt;0"))</x:f>
      </x:c>
      <x:c r="AH21" s="64"/>
      <x:c r="AI21" s="64"/>
      <x:c r="AJ21" s="64"/>
    </x:row>
    <x:row r="22" ht="23" customHeight="1">
      <x:c r="A22" s="44"/>
      <x:c r="B22" s="44"/>
      <x:c r="C22" s="44"/>
      <x:c r="D22" s="44"/>
      <x:c r="E22" s="44"/>
      <x:c r="F22" s="44"/>
      <x:c r="G22" s="44"/>
      <x:c r="H22" s="44"/>
      <x:c r="I22" s="44"/>
      <x:c r="J22" s="44"/>
      <x:c r="K22" s="44"/>
      <x:c r="L22" s="44"/>
      <x:c r="M22" s="44"/>
      <x:c r="N22" s="44"/>
      <x:c r="O22" s="44"/>
      <x:c r="P22" s="44"/>
      <x:c r="Q22" s="44"/>
      <x:c r="R22" s="44"/>
      <x:c r="S22" s="44"/>
      <x:c r="T22" s="44"/>
      <x:c r="U22" s="44"/>
      <x:c r="V22" s="44"/>
      <x:c r="W22" s="44"/>
      <x:c r="X22" s="44"/>
      <x:c r="Y22" s="44"/>
      <x:c r="Z22" s="44"/>
      <x:c r="AA22" s="44"/>
      <x:c r="AB22" s="44"/>
      <x:c r="AC22" s="44"/>
      <x:c r="AD22" s="44"/>
      <x:c r="AE22" s="44"/>
      <x:c r="AF22" s="44"/>
      <x:c r="AG22" s="44"/>
      <x:c r="AH22" s="44"/>
      <x:c r="AI22" s="44"/>
      <x:c r="AJ22" s="44"/>
    </x:row>
    <x:row r="23" ht="25" customHeight="1">
      <x:c r="A23" s="45" t="str">
        <x:v>依排班者要求彙入10/1–10/11；10/1–4採調整版v2，10/5–11採調整版。10/12起空白＝尚未匯入。月休11天依本月指定；P12計工時，但不計餐期正式人力。每日人數為排班人數（含新人），非餐期在崗人數。</x:v>
      </x:c>
      <x:c r="B23" s="45"/>
      <x:c r="C23" s="45"/>
      <x:c r="D23" s="45"/>
      <x:c r="E23" s="45"/>
      <x:c r="F23" s="45"/>
      <x:c r="G23" s="45"/>
      <x:c r="H23" s="45"/>
      <x:c r="I23" s="45"/>
      <x:c r="J23" s="45"/>
      <x:c r="K23" s="45"/>
      <x:c r="L23" s="45"/>
      <x:c r="M23" s="45"/>
      <x:c r="N23" s="45"/>
      <x:c r="O23" s="45"/>
      <x:c r="P23" s="45"/>
      <x:c r="Q23" s="45"/>
      <x:c r="R23" s="45"/>
      <x:c r="S23" s="45"/>
      <x:c r="T23" s="45"/>
      <x:c r="U23" s="45"/>
      <x:c r="V23" s="45"/>
      <x:c r="W23" s="45"/>
      <x:c r="X23" s="45"/>
      <x:c r="Y23" s="45"/>
      <x:c r="Z23" s="45"/>
      <x:c r="AA23" s="45"/>
      <x:c r="AB23" s="45"/>
      <x:c r="AC23" s="45"/>
      <x:c r="AD23" s="45"/>
      <x:c r="AE23" s="45"/>
      <x:c r="AF23" s="45"/>
      <x:c r="AG23" s="45"/>
      <x:c r="AH23" s="45"/>
      <x:c r="AI23" s="45"/>
      <x:c r="AJ23" s="45"/>
    </x:row>
    <x:row r="24" ht="25" customHeight="1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  <x:c r="K24" s="45"/>
      <x:c r="L24" s="45"/>
      <x:c r="M24" s="45"/>
      <x:c r="N24" s="45"/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  <x:c r="AA24" s="45"/>
      <x:c r="AB24" s="45"/>
      <x:c r="AC24" s="45"/>
      <x:c r="AD24" s="45"/>
      <x:c r="AE24" s="45"/>
      <x:c r="AF24" s="45"/>
      <x:c r="AG24" s="45"/>
      <x:c r="AH24" s="45"/>
      <x:c r="AI24" s="45"/>
      <x:c r="AJ24" s="45"/>
    </x:row>
    <x:row r="25" ht="25" customHeight="1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  <x:c r="K25" s="45"/>
      <x:c r="L25" s="45"/>
      <x:c r="M25" s="45"/>
      <x:c r="N25" s="45"/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  <x:c r="AA25" s="45"/>
      <x:c r="AB25" s="45"/>
      <x:c r="AC25" s="45"/>
      <x:c r="AD25" s="45"/>
      <x:c r="AE25" s="45"/>
      <x:c r="AF25" s="45"/>
      <x:c r="AG25" s="45"/>
      <x:c r="AH25" s="45"/>
      <x:c r="AI25" s="45"/>
      <x:c r="AJ25" s="45"/>
    </x:row>
  </x:sheetData>
  <x:mergeCells>
    <x:mergeCell ref="A1:AJ1"/>
    <x:mergeCell ref="A3:AJ3"/>
    <x:mergeCell ref="A2:D2"/>
    <x:mergeCell ref="E2:H2"/>
    <x:mergeCell ref="I2:M2"/>
    <x:mergeCell ref="N2:R2"/>
    <x:mergeCell ref="A5:A7"/>
    <x:mergeCell ref="B5:B7"/>
    <x:mergeCell ref="AH5:AH7"/>
    <x:mergeCell ref="AI5:AI7"/>
    <x:mergeCell ref="AJ5:AJ7"/>
    <x:mergeCell ref="A20:B20"/>
    <x:mergeCell ref="A21:B21"/>
    <x:mergeCell ref="A23:AJ25"/>
  </x:mergeCells>
  <x:conditionalFormatting sqref="AJ8:AJ18">
    <x:cfRule type="containsText" dxfId="6" priority="1" operator="containsText" text="待匯入"/>
    <x:cfRule type="containsText" dxfId="7" priority="2" operator="containsText" text="部分匯入"/>
    <x:cfRule type="containsText" dxfId="8" priority="3" operator="containsText" text="完整"/>
  </x:conditionalFormatting>
  <x:conditionalFormatting sqref="N2:R2">
    <x:cfRule type="containsText" dxfId="9" priority="4" operator="containsText" text="待匯入"/>
    <x:cfRule type="containsText" dxfId="10" priority="5" operator="containsText" text="整月完成"/>
  </x:conditionalFormatting>
  <x:pageMargins left="0.7" right="0.7" top="0.75" bottom="0.75" header="0.3" footer="0.3"/>
</x:worksheet>
</file>